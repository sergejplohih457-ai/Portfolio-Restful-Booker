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3c312642b0e40e0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032b5656ad0746da8097da8f5e57c3f9.psmdcp" Id="R430fec61d6ef41d4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Project_Основной проект" sheetId="1" r:id="rId2"/>
  </x:sheets>
  <x:definedNames/>
  <x:calcPr calcId="125725"/>
</x:workbook>
</file>

<file path=xl/calcChain.xml><?xml version="1.0" encoding="utf-8"?>
<x:calcChain xmlns:x="http://schemas.openxmlformats.org/spreadsheetml/2006/main">
  <x:c r="C2" i="1"/>
  <x:c r="C6" i="1"/>
  <x:c r="C10" i="1"/>
  <x:c r="C14" i="1"/>
  <x:c r="C18" i="1"/>
  <x:c r="C22" i="1"/>
  <x:c r="C26" i="1"/>
  <x:c r="C30" i="1"/>
  <x:c r="C34" i="1"/>
  <x:c r="C38" i="1"/>
  <x:c r="C42" i="1"/>
  <x:c r="C46" i="1"/>
  <x:c r="C50" i="1"/>
  <x:c r="C54" i="1"/>
  <x:c r="C58" i="1"/>
  <x:c r="C62" i="1"/>
  <x:c r="C66" i="1"/>
  <x:c r="C70" i="1"/>
  <x:c r="C74" i="1"/>
  <x:c r="C78" i="1"/>
  <x:c r="C82" i="1"/>
  <x:c r="C86" i="1"/>
  <x:c r="C90" i="1"/>
  <x:c r="C94" i="1"/>
  <x:c r="C98" i="1"/>
  <x:c r="C102" i="1"/>
  <x:c r="C106" i="1"/>
  <x:c r="C110" i="1"/>
  <x:c r="C114" i="1"/>
  <x:c r="C118" i="1"/>
  <x:c r="C122" i="1"/>
  <x:c r="C126" i="1"/>
  <x:c r="C130" i="1"/>
  <x:c r="C136" i="1"/>
  <x:c r="C140" i="1"/>
  <x:c r="C144" i="1"/>
  <x:c r="C148" i="1"/>
  <x:c r="C152" i="1"/>
  <x:c r="C156" i="1"/>
  <x:c r="C160" i="1"/>
  <x:c r="C164" i="1"/>
  <x:c r="C169" i="1"/>
  <x:c r="C173" i="1"/>
  <x:c r="C177" i="1"/>
  <x:c r="C181" i="1"/>
  <x:c r="C184" i="1"/>
  <x:c r="C187" i="1"/>
  <x:c r="C190" i="1"/>
  <x:c r="C193" i="1"/>
  <x:c r="C196" i="1"/>
  <x:c r="C199" i="1"/>
  <x:c r="C203" i="1"/>
  <x:c r="C206" i="1"/>
  <x:c r="C209" i="1"/>
  <x:c r="C212" i="1"/>
  <x:c r="C220" i="1"/>
  <x:c r="C223" i="1"/>
  <x:c r="C226" i="1"/>
  <x:c r="C229" i="1"/>
  <x:c r="C232" i="1"/>
  <x:c r="C235" i="1"/>
  <x:c r="C238" i="1"/>
  <x:c r="C241" i="1"/>
  <x:c r="C244" i="1"/>
  <x:c r="C247" i="1"/>
  <x:c r="C250" i="1"/>
  <x:c r="C253" i="1"/>
</x:calcChain>
</file>

<file path=xl/sharedStrings.xml><?xml version="1.0" encoding="utf-8"?>
<x:sst xmlns:x="http://schemas.openxmlformats.org/spreadsheetml/2006/main">
  <x:si>
    <x:t>ID</x:t>
  </x:si>
  <x:si>
    <x:t>Расположение</x:t>
  </x:si>
  <x:si>
    <x:t>Наименование</x:t>
  </x:si>
  <x:si>
    <x:t>Автоматизирован</x:t>
  </x:si>
  <x:si>
    <x:t>Предусловия</x:t>
  </x:si>
  <x:si>
    <x:t>Шаги</x:t>
  </x:si>
  <x:si>
    <x:t>Постусловия</x:t>
  </x:si>
  <x:si>
    <x:t>Ожидаемый результат</x:t>
  </x:si>
  <x:si>
    <x:t>Тестовые данные</x:t>
  </x:si>
  <x:si>
    <x:t>Комментарии</x:t>
  </x:si>
  <x:si>
    <x:t>Итерации</x:t>
  </x:si>
  <x:si>
    <x:t>Приоритет</x:t>
  </x:si>
  <x:si>
    <x:t>Статус</x:t>
  </x:si>
  <x:si>
    <x:t>Дата создания</x:t>
  </x:si>
  <x:si>
    <x:t>Автор</x:t>
  </x:si>
  <x:si>
    <x:t>Длительность</x:t>
  </x:si>
  <x:si>
    <x:t>Тег</x:t>
  </x:si>
  <x:si>
    <x:t>117</x:t>
  </x:si>
  <x:si>
    <x:t>Основной проект -&gt; Auth</x:t>
  </x:si>
  <x:si>
    <x:t>Нет</x:t>
  </x:si>
  <x:si>
    <x:t/>
  </x:si>
  <x:si>
    <x:t>Средний</x:t>
  </x:si>
  <x:si>
    <x:t>Готов</x:t>
  </x:si>
  <x:si>
    <x:t>9/15/2026 10:01:08</x:t>
  </x:si>
  <x:si>
    <x:t>Сергей</x:t>
  </x:si>
  <x:si>
    <x:t>0h 10m 0s</x:t>
  </x:si>
  <x:si>
    <x:t>Открыть административную панель Windows\cmd.exe</x:t>
  </x:si>
  <x:si>
    <x:t>Административная панель открыта</x:t>
  </x:si>
  <x:si>
    <x:t>Вставляем curl запрос
 curl -X POST https://restful-booker.herokuapp.com/auth -H "Content-Type: application/json" -d "{\"username\":\"admin\", \"password\":\"password123\"}"</x:t>
  </x:si>
  <x:si>
    <x:t>В административной панели мы видим верный curl запрос</x:t>
  </x:si>
  <x:si>
    <x:t>Нажимаем Enter</x:t>
  </x:si>
  <x:si>
    <x:t>запрос отправился, строкой ниже видим актуальные Токен доступа</x:t>
  </x:si>
  <x:si>
    <x:t>118</x:t>
  </x:si>
  <x:si>
    <x:t>9/15/2026 10:02:40</x:t>
  </x:si>
  <x:si>
    <x:t>Вставляем curl запрос curl -X POST https://restful-booker.herokuapp.com/auth -H "Content-Type: application/json" -d "{\"username\":\"\", \"password\":\"password123\"}"</x:t>
  </x:si>
  <x:si>
    <x:t>запрос отправился, строкой ниже видим ошибку “Bad credentials“</x:t>
  </x:si>
  <x:si>
    <x:t>119</x:t>
  </x:si>
  <x:si>
    <x:t>9/15/2026 10:09:04</x:t>
  </x:si>
  <x:si>
    <x:t>Вставляем curl запрос curl -X POST https://restful-booker.herokuapp.com/auth -H "Content-Type: application/json" -d "{\"username\":\"admn\", \"password\":\"password123\"}"</x:t>
  </x:si>
  <x:si>
    <x:t>120</x:t>
  </x:si>
  <x:si>
    <x:t>9/15/2026 10:16:26</x:t>
  </x:si>
  <x:si>
    <x:t>Вставляем curl запрос curl -X POST https://restful-booker.herokuapp.com/auth -H "Content-Type: application/json" -d "{\"username\":\"admina\", \"password\":\"password123\"}"</x:t>
  </x:si>
  <x:si>
    <x:t>121</x:t>
  </x:si>
  <x:si>
    <x:t>9/15/2026 10:21:01</x:t>
  </x:si>
  <x:si>
    <x:t>Вставляем curl запрос curl -X POST https://restful-booker.herokuapp.com/auth -H "Content-Type: application/json" -d "{\"username\":\"ADMIN\", \"password\":\"password123\"}"</x:t>
  </x:si>
  <x:si>
    <x:t>122</x:t>
  </x:si>
  <x:si>
    <x:t>9/15/2026 10:22:46</x:t>
  </x:si>
  <x:si>
    <x:t>Вставляем curl запрос curl -X POST https://restful-booker.herokuapp.com/auth -H "Content-Type: application/json" -d "{\"username\":\"     \", \"password\":\"password123\"}"</x:t>
  </x:si>
  <x:si>
    <x:t>123</x:t>
  </x:si>
  <x:si>
    <x:t>9/15/2026 10:24:04</x:t>
  </x:si>
  <x:si>
    <x:t>Вставляем curl запрос curl -X POST https://restful-booker.herokuapp.com/auth -H "Content-Type: application/json" -d "{\"username\":\"12345\", \"password\":\"password123\"}"</x:t>
  </x:si>
  <x:si>
    <x:t>124</x:t>
  </x:si>
  <x:si>
    <x:t>9/15/2026 10:26:06</x:t>
  </x:si>
  <x:si>
    <x:t>Вставляем curl запрос curl -X POST https://restful-booker.herokuapp.com/auth -H "Content-Type: application/json" -d "{\"username\":\"adm-in\", \"password\":\"password123\"}"</x:t>
  </x:si>
  <x:si>
    <x:t>125</x:t>
  </x:si>
  <x:si>
    <x:t>9/15/2026 10:32:39</x:t>
  </x:si>
  <x:si>
    <x:t>Вставляем curl запрос curl -X GET https://restful-booker.herokuapp.com/auth -H "Content-Type: application/json" -d "{\"username\":\"admin\", \"password\":\"password123\"}"</x:t>
  </x:si>
  <x:si>
    <x:t>запрос отправился, строкой ниже видим ошибку Not Found</x:t>
  </x:si>
  <x:si>
    <x:t>126</x:t>
  </x:si>
  <x:si>
    <x:t>9/15/2026 12:42:59</x:t>
  </x:si>
  <x:si>
    <x:t>Вставляем curl запрос curl -X POST https://restful-booker.herokuapp.com/auth -H "Content-Type: application/json" -d "{\"username\":\"admin\", \"password\":\"\"}"</x:t>
  </x:si>
  <x:si>
    <x:t>127</x:t>
  </x:si>
  <x:si>
    <x:t>Вставляем curl запрос curl -X POST https://restful-booker.herokuapp.com/auth -H "Content-Type: application/json" -d "{\"username\":\"admn\", \"password\":\"passwrd123\"}"</x:t>
  </x:si>
  <x:si>
    <x:t>128</x:t>
  </x:si>
  <x:si>
    <x:t>Вставляем curl запрос curl -X POST https://restful-booker.herokuapp.com/auth -H "Content-Type: application/json" -d "{\"username\":\"admin\", \"password\":\"password1234\"}"</x:t>
  </x:si>
  <x:si>
    <x:t>129</x:t>
  </x:si>
  <x:si>
    <x:t>Вставляем curl запрос curl -X POST https://restful-booker.herokuapp.com/auth -H "Content-Type: application/json" -d "{\"username\":\"admin\", \"password\":\"PASSWORD123\"}"</x:t>
  </x:si>
  <x:si>
    <x:t>130</x:t>
  </x:si>
  <x:si>
    <x:t>Вставляем curl запрос curl -X POST https://restful-booker.herokuapp.com/auth -H "Content-Type: application/json" -d "{\"username\":\"admin\", \"password\":\"           \"}"</x:t>
  </x:si>
  <x:si>
    <x:t>131</x:t>
  </x:si>
  <x:si>
    <x:t>Вставляем curl запрос curl -X POST https://restful-booker.herokuapp.com/auth -H "Content-Type: application/json" -d "{\"username\":\"admin\", \"password\":\"пароль\"}"</x:t>
  </x:si>
  <x:si>
    <x:t>132</x:t>
  </x:si>
  <x:si>
    <x:t>Вставляем curl запрос curl -X POST https://restful-booker.herokuapp.com/auth -H "Content-Type: application/json" -d "{\"username\":\"admin\", \"password\":\"password-123\"}"</x:t>
  </x:si>
  <x:si>
    <x:t>133</x:t>
  </x:si>
  <x:si>
    <x:t>9/15/2026 17:06:56</x:t>
  </x:si>
  <x:si>
    <x:t>Вставляем curl запрос curl -X POST https://restful-booker.herokuapp.com/auth -H "Content-Type: application/json" -d "{\"username\":\"админ\", \"password\":\"password123\"}"</x:t>
  </x:si>
  <x:si>
    <x:t>134</x:t>
  </x:si>
  <x:si>
    <x:t>Основной проект -&gt; GetBookingIds</x:t>
  </x:si>
  <x:si>
    <x:t>Высокий</x:t>
  </x:si>
  <x:si>
    <x:t>9/16/2026 07:53:37</x:t>
  </x:si>
  <x:si>
    <x:t>Вставляем curl запрос
curl -i https://restful-booker.herokuapp.com/booking</x:t>
  </x:si>
  <x:si>
    <x:t>запрос отправился, строкой ниже видим строкой ниже видим JSON-массив объектов с полем booking (number)</x:t>
  </x:si>
  <x:si>
    <x:t>135</x:t>
  </x:si>
  <x:si>
    <x:t>9/16/2026 07:58:06</x:t>
  </x:si>
  <x:si>
    <x:t>запрос отправился, строкой ниже видим JSON-массив объектов структура начало и конец совпадает с предыдущем запросом</x:t>
  </x:si>
  <x:si>
    <x:t>136</x:t>
  </x:si>
  <x:si>
    <x:t>9/16/2026 08:49:17</x:t>
  </x:si>
  <x:si>
    <x:t>запрос отправился, строкой ниже видим JSON-массив объектов номер id не дублируется</x:t>
  </x:si>
  <x:si>
    <x:t>137</x:t>
  </x:si>
  <x:si>
    <x:t>9/16/2026 08:53:36</x:t>
  </x:si>
  <x:si>
    <x:t>Вставляем curl запрос
curl -i https://restful-booker.herokuapp.com/bookings</x:t>
  </x:si>
  <x:si>
    <x:t>Запрос отправился, строкой ниже видим 404 Not Found</x:t>
  </x:si>
  <x:si>
    <x:t>138</x:t>
  </x:si>
  <x:si>
    <x:t>9/16/2026 09:14:10</x:t>
  </x:si>
  <x:si>
    <x:t>firstname/lastname</x:t>
  </x:si>
  <x:si>
    <x:t>Вставляем curl запрос
curl -i https://restful-booker.herokuapp.com/booking?firstname=Mark&amp;lastname=Ericsoon</x:t>
  </x:si>
  <x:si>
    <x:t>Запрос отправился, строкой ниже видим json массив объектов</x:t>
  </x:si>
  <x:si>
    <x:t>139</x:t>
  </x:si>
  <x:si>
    <x:t>9/16/2026 09:25:04</x:t>
  </x:si>
  <x:si>
    <x:t>Запрос отправился, строкой ниже видим json массив объектов таких же как и в первом запросе</x:t>
  </x:si>
  <x:si>
    <x:t>140</x:t>
  </x:si>
  <x:si>
    <x:t>9/16/2026 09:32:52</x:t>
  </x:si>
  <x:si>
    <x:t>Вставляем curl запрос
curl -i https://restful-booker.herokuapp.com/booking?firstname=MARK&amp;lastname=ERICSSON</x:t>
  </x:si>
  <x:si>
    <x:t>Запрос отправился, строкой ниже видим json массив объектов, пустой массив</x:t>
  </x:si>
  <x:si>
    <x:t>141</x:t>
  </x:si>
  <x:si>
    <x:t>9/16/2026 09:40:40</x:t>
  </x:si>
  <x:si>
    <x:t>Вставляем curl запрос
curl -i https://restful-booker.herokuapp.com/booking?firstname=Mark</x:t>
  </x:si>
  <x:si>
    <x:t>142</x:t>
  </x:si>
  <x:si>
    <x:t>9/16/2026 09:43:22</x:t>
  </x:si>
  <x:si>
    <x:t>Вставляем curl запрос
curl -i https://restful-booker.herokuapp.com/booking?firstname=</x:t>
  </x:si>
  <x:si>
    <x:t>Запрос отправился, пустой массив</x:t>
  </x:si>
  <x:si>
    <x:t>143</x:t>
  </x:si>
  <x:si>
    <x:t>9/16/2026 09:45:56</x:t>
  </x:si>
  <x:si>
    <x:t>Вставляем curl запрос
curl -i https://restful-booker.herokuapp.com/booking?firstname=Сусан</x:t>
  </x:si>
  <x:si>
    <x:t>Запрос отправился, в ответе пустой json</x:t>
  </x:si>
  <x:si>
    <x:t>144</x:t>
  </x:si>
  <x:si>
    <x:t>9/16/2026 09:48:30</x:t>
  </x:si>
  <x:si>
    <x:t>Вставляем curl запрос
curl -i https://restful-booker.herokuapp.com/booking?firstname=mark</x:t>
  </x:si>
  <x:si>
    <x:t>145</x:t>
  </x:si>
  <x:si>
    <x:t>9/16/2026 09:52:55</x:t>
  </x:si>
  <x:si>
    <x:t>Вставляем curl запрос
curl -i https://restful-booker.herokuapp.com/booking?firstname=Mark&amp;lastname=Ериксон</x:t>
  </x:si>
  <x:si>
    <x:t>146</x:t>
  </x:si>
  <x:si>
    <x:t>9/16/2026 10:05:51</x:t>
  </x:si>
  <x:si>
    <x:t>Вставляем curl запрос
curl -i https://restful-booker.herokuapp.com/booking?firstname=Марк&amp;lastname=Ericsson</x:t>
  </x:si>
  <x:si>
    <x:t>147</x:t>
  </x:si>
  <x:si>
    <x:t>9/16/2026 10:11:29</x:t>
  </x:si>
  <x:si>
    <x:t>Вставляем curl запрос
curl -i https://restful-booker.herokuapp.com/booking?firstname=1234&amp;lastname=1234567</x:t>
  </x:si>
  <x:si>
    <x:t>148</x:t>
  </x:si>
  <x:si>
    <x:t>9/16/2026 10:17:07</x:t>
  </x:si>
  <x:si>
    <x:t>checkin/checkout</x:t>
  </x:si>
  <x:si>
    <x:t>Вставляем curl запрос
curl -i https://restful-booker.herokuapp.com/booking?checkin=2014-03-13&amp;checkout=2014-05-21</x:t>
  </x:si>
  <x:si>
    <x:t>запрос отправился, строкой ниже видим пустой или массив объектов с полем booking (number)</x:t>
  </x:si>
  <x:si>
    <x:t>149</x:t>
  </x:si>
  <x:si>
    <x:t>9/16/2026 10:29:50</x:t>
  </x:si>
  <x:si>
    <x:t>запрос отправился, строкой ниже видим JSON-массив объектов с полем booking (number)</x:t>
  </x:si>
  <x:si>
    <x:t>Поставим курсор на новую строку</x:t>
  </x:si>
  <x:si>
    <x:t>курсор активен в новой строке</x:t>
  </x:si>
  <x:si>
    <x:t>Вставляем проверочный запрос 
curl -i https://restful-booker.herokuapp.com/booking/{id}</x:t>
  </x:si>
  <x:si>
    <x:t>id бронирования соответствует диапазону checkin/checkout</x:t>
  </x:si>
  <x:si>
    <x:t>150</x:t>
  </x:si>
  <x:si>
    <x:t>9/16/2026 11:14:16</x:t>
  </x:si>
  <x:si>
    <x:t>Вставляем curl запрос
curl -i https://restful-booker.herokuapp.com/booking?checkin=2014-03-13</x:t>
  </x:si>
  <x:si>
    <x:t>151</x:t>
  </x:si>
  <x:si>
    <x:t>9/16/2026 11:15:51</x:t>
  </x:si>
  <x:si>
    <x:t>Вставляем curl запрос
curl -i https://restful-booker.herokuapp.com/booking?checkout=2014-03-13</x:t>
  </x:si>
  <x:si>
    <x:t>запрос отправился, строкой ниже видим JSON-массив объектов с полем booking (number), пустой массив</x:t>
  </x:si>
  <x:si>
    <x:t>152</x:t>
  </x:si>
  <x:si>
    <x:t>9/16/2026 11:18:40</x:t>
  </x:si>
  <x:si>
    <x:t>Вставляем curl запрос
curl -i https://restful-booker.herokuapp.com/booking?checkin=21-03-2014&amp;checkout=21-05-2015</x:t>
  </x:si>
  <x:si>
    <x:t>запрос отправился, 400 Bad request, 404 Not found</x:t>
  </x:si>
  <x:si>
    <x:t>153</x:t>
  </x:si>
  <x:si>
    <x:t>9/16/2026 11:22:48</x:t>
  </x:si>
  <x:si>
    <x:t>Вставляем curl запрос
curl -i https://restful-booker.herokuapp.com/booking?checkin=2014-03-32&amp;checkout=2014-07-02</x:t>
  </x:si>
  <x:si>
    <x:t>154</x:t>
  </x:si>
  <x:si>
    <x:t>Основной проект -&gt; Get Booking</x:t>
  </x:si>
  <x:si>
    <x:t>9/17/2026 11:09:48</x:t>
  </x:si>
  <x:si>
    <x:t>Вставляем curl запрос
curl -i https://restful-booker.herokuapp.com/booking/1</x:t>
  </x:si>
  <x:si>
    <x:t>В ответе видим объект Json c верными полями</x:t>
  </x:si>
  <x:si>
    <x:t>155</x:t>
  </x:si>
  <x:si>
    <x:t>9/17/2026 11:30:28</x:t>
  </x:si>
  <x:si>
    <x:t>Вставляем curl запрос
curl -i https://restful-booker.herokuapp.com/booking/100000</x:t>
  </x:si>
  <x:si>
    <x:t>404 Not Found</x:t>
  </x:si>
  <x:si>
    <x:t>156</x:t>
  </x:si>
  <x:si>
    <x:t>9/17/2026 11:47:56</x:t>
  </x:si>
  <x:si>
    <x:t>Вставляем curl запрос
curl -i https://restful-booker.herokuapp.com/booking/w</x:t>
  </x:si>
  <x:si>
    <x:t>157</x:t>
  </x:si>
  <x:si>
    <x:t>9/17/2026 12:00:31</x:t>
  </x:si>
  <x:si>
    <x:t>Вставляем curl запрос 
curl -i https://restful-booker.herokuapp.com/booking</x:t>
  </x:si>
  <x:si>
    <x:t>В ответе видим Json массив объектов</x:t>
  </x:si>
  <x:si>
    <x:t>В новой строке вставляем
 curl -i https://restful-booker.herokuapp.com/booking/{id}</x:t>
  </x:si>
  <x:si>
    <x:t>В ответе видим Json объект с параметрами бронирования</x:t>
  </x:si>
  <x:si>
    <x:t>158</x:t>
  </x:si>
  <x:si>
    <x:t>Не готов</x:t>
  </x:si>
  <x:si>
    <x:t>9/17/2026 12:10:13</x:t>
  </x:si>
  <x:si>
    <x:t>Вставляем curl запрос
curl -i https://restful-booker.herokuapp.com/booking/1.1</x:t>
  </x:si>
  <x:si>
    <x:t>159</x:t>
  </x:si>
  <x:si>
    <x:t>9/17/2026 12:30:19</x:t>
  </x:si>
  <x:si>
    <x:t>160</x:t>
  </x:si>
  <x:si>
    <x:t>9/17/2026 12:35:06</x:t>
  </x:si>
  <x:si>
    <x:t>Вставляем curl запрос
curl -i -H “Accept: application/xml” https://restful-booker.herokuapp.com/booking/1</x:t>
  </x:si>
  <x:si>
    <x:t>В ответе видим 200 OK, xml</x:t>
  </x:si>
  <x:si>
    <x:t>161</x:t>
  </x:si>
  <x:si>
    <x:t>Основной проект -&gt; CreateBooking</x:t>
  </x:si>
  <x:si>
    <x:t>9/17/2026 15:53:34</x:t>
  </x:si>
  <x:si>
    <x:t>Вставляем curl запрос
curl -X POST https://restful-booker.herokuapp.com/booking -H "Content-Type: application/json" -d "{\"firstname\":\"Sofia\",\"lastname\":\"Orlova\",\"totalprice\":111,\"depositpaid\":true,\"bookingdates\":{\"checkin\":\"2018-01-01\",\"checkout\":\"2019-01-01\"},\"additionalneeds\":\"Breakfast\"}"</x:t>
  </x:si>
  <x:si>
    <x:t>В ответе видим Json объект, booking id</x:t>
  </x:si>
  <x:si>
    <x:t>162</x:t>
  </x:si>
  <x:si>
    <x:t>9/17/2026 16:14:14</x:t>
  </x:si>
  <x:si>
    <x:t>Вставляем curl запрос
curl -X POST https://restful-booker.herokuapp.com/booking -H "Content-Type: application/json" -d "{\"firstname\":\"Sofia\",\"lastname\":\"Orlova\",\"totalprice\":111,\"depositpaid\":true,\"bookingdates\":{\"checkin\":\"2019-01-01\",\"checkout\":\"2020-01-01\"}}”</x:t>
  </x:si>
  <x:si>
    <x:t>163</x:t>
  </x:si>
  <x:si>
    <x:t>9/17/2026 16:18:42</x:t>
  </x:si>
  <x:si>
    <x:t>Вставляем curl запрос
curl -X POST https://restful-booker.herokuapp.com/booking -H "Content-Type: application/json" -d "{\"firstname\":\"Sofia\",\"lastname\":\"Orlova\",\"totalprice\":111,\"depositpaid\":false,\"bookingdates\":{\"checkin\":\"2019-01-01\",\"checkout\":\"2020-01-01\"},\"additionalneeds\":\"Breakfast\"}”</x:t>
  </x:si>
  <x:si>
    <x:t>164</x:t>
  </x:si>
  <x:si>
    <x:t>9/17/2026 16:34:19</x:t>
  </x:si>
  <x:si>
    <x:t>Вставляем curl запрос
curl -X POST https://restful-booker.herokuapp.com/booking -H "Content-Type: application/json" -d "{\"firstname\":\"S\",\"lastname\":\"O\",\"totalprice\":111,\"depositpaid\":false,\"bookingdates\":{\"checkin\":\"2019-01-01\",\"checkout\":\"2020-01-01\"},\"additionalneeds\":\"Breakfast\"}”</x:t>
  </x:si>
  <x:si>
    <x:t>165</x:t>
  </x:si>
  <x:si>
    <x:t>9/18/2026 15:42:26</x:t>
  </x:si>
  <x:si>
    <x:t>Вставляем curl запрос
curl -X POST https://restful-booker.herokuapp.com/booking -H "Content-Type: application/json" -d "{\"firstname\":\"Sofik\",\"lastname\":\"Orlova\",\"depositpaid\":false,\"bookingdates\":{\"checkin\":\"2019-01-01\",\"checkout\":\"2020-01-01\"},\"additionalneeds\":\"Breakfast\"}”</x:t>
  </x:si>
  <x:si>
    <x:t>В ответе видим 400 Bad Request</x:t>
  </x:si>
  <x:si>
    <x:t>166</x:t>
  </x:si>
  <x:si>
    <x:t>9/18/2026 16:01:15</x:t>
  </x:si>
  <x:si>
    <x:t>Вставляем curl запрос
curl -X POST https://restful-booker.herokuapp.com/booking -H "Content-Type: application/json" -H "Accept: application/xml" -d "{\"firstname\":\"Sofia\",\"lastname\":\"Orlova\",\"totalprice\":111,\"depositpaid\":false,\"bookingdates\":{\"checkin\":\"2019-01-01\",\"checkout\":\"2020-01-01\"},\"additionalneeds\":\"Breakfast\"}"</x:t>
  </x:si>
  <x:si>
    <x:t>В ответе видим XML</x:t>
  </x:si>
  <x:si>
    <x:t>167</x:t>
  </x:si>
  <x:si>
    <x:t>Основной проект -&gt; Update Booking</x:t>
  </x:si>
  <x:si>
    <x:t>9/21/2026 09:02:57</x:t>
  </x:si>
  <x:si>
    <x:t>Вставить запрос для авторизации
curl -X POST https://restful-booker.herokuapp.com/auth -H "Content-Type: application/json" -d "{\"username\":\"admin\", \"password\":\"password123\"}"</x:t>
  </x:si>
  <x:si>
    <x:t>получаем токен авторизации</x:t>
  </x:si>
  <x:si>
    <x:t>Вставляем curl запрос с полученным токеном авторизации:
curl -X PUT https://restful-booker.herokuapp.com/booking/5 -H "Content-Type: application/json" -H "Accept: application/json" -H "Cookie: token=01765e49b0ebc94" -d "{\"firstname\":\"Sergey\",\"lastname\":\"Plokhikh\",\"totalprice\":999,\"depositpaid\":true,\"bookingdates\":{\"checkin\":\"2025-01-01\",\"checkout\":\"2026-01-01\"},\"additionalneeds\":\"Only\"}"</x:t>
  </x:si>
  <x:si>
    <x:t>Данные бронирования изменены</x:t>
  </x:si>
  <x:si>
    <x:t>168</x:t>
  </x:si>
  <x:si>
    <x:t>9/21/2026 09:26:36</x:t>
  </x:si>
  <x:si>
    <x:t>Вставляем curl запрос
curl -X PUT https://restful-booker.herokuapp.com/booking/5 -H "Content-Type: application/json" -H "Accept: application/json" -H "Authorization:Basic YWRtaW46cGFzc3dvcmQxMjM=" -d "{\"firstname\":\"Sergey\",\"lastname\":\"Plokhikh\",\"totalprice\":999,\"depositpaid\":false,\"bookingdate\":{\"checkin\":\"2025-01-01\",\"checkout\":\"2026-01-01\"},\"additionalneeds\":\"Only\"}"</x:t>
  </x:si>
  <x:si>
    <x:t>169</x:t>
  </x:si>
  <x:si>
    <x:t>9/21/2026 09:49:32</x:t>
  </x:si>
  <x:si>
    <x:t>Вставляем curl запрос
curl -X PUT https://restful-booker.herokuapp.com/booking/5 -H "Content-Type: application/json" -H "Accept: application/json" -H "Authorization:Basic YWRtaW46cGFzc3dvcmQxMjM=" -d "{\"firstname\":\"Sergey\",\"lastname\":\"Plokhikh\",\"depositpaid\":false,\"bookingdates\":{\"checkin\":\"2027-01-01\",\"checkout\":\"2026-01-01\"},\"additionalneeds\":\"Only\"}"</x:t>
  </x:si>
  <x:si>
    <x:t>400 Bad Request</x:t>
  </x:si>
  <x:si>
    <x:t>170</x:t>
  </x:si>
  <x:si>
    <x:t>9/21/2026 10:02:00</x:t>
  </x:si>
  <x:si>
    <x:t>Вставляем curl запрос
curl -X PUT https://restful-booker.herokuapp.com/booking/5 -H "Content-Type: application/json" -H "Accept: application/xml" -H "Authorization:Basic YWRtaW46cGFzc3dvcmQxMjM=" -d "{\"firstname\":\"Sergey\",\"lastname\":\"Plokhikh\",\"totalprice\":999,\"depositpaid\":false,\"bookingdates\":{\"checkin\":\"2025-01-01\",\"checkout\":\"2026-01-01\"},\"additionalneeds\":\"Only\"}"</x:t>
  </x:si>
  <x:si>
    <x:t>171</x:t>
  </x:si>
  <x:si>
    <x:t>9/21/2026 10:04:10</x:t>
  </x:si>
  <x:si>
    <x:t>Вставляем curl запрос
curl -X GET https://restful-booker.herokuapp.com/booking/5</x:t>
  </x:si>
  <x:si>
    <x:t>Видим Json объект с данными бронирования</x:t>
  </x:si>
  <x:si>
    <x:t>Вставляем curl запрос изменяя данные бронирования
curl -X PUT https://restful-booker.herokuapp.com/booking/5 -H "Content-Type: application/json" -H "Accept: application/xml" -H "Authorization:Basic YWRtaW46cGFzc3dvcmQxMjM=" -d "{\"firstname\":\"Sergey\",\"lastname\":\"Plokhikh\",\"totalprice\":999,\"depositpaid\":false,\"bookingdates\":{\"checkin\":\"2025-01-01\",\"checkout\":\"2026-01-01\"},\"additionalneeds\":\"Only\"}"</x:t>
  </x:si>
  <x:si>
    <x:t>Вставляем curl запрос проверяем что данные изменились
curl -X GET https://restful-booker.herokuapp.com/booking/5</x:t>
  </x:si>
  <x:si>
    <x:t>Данные изменены</x:t>
  </x:si>
  <x:si>
    <x:t>Вставляем curl запрос повторный
curl -X PUT https://restful-booker.herokuapp.com/booking/5 -H "Content-Type: application/json" -H "Accept: application/xml" -H "Authorization:Basic YWRtaW46cGFzc3dvcmQxMjM=" -d "{\"firstname\":\"Sergey\",\"lastname\":\"Plokhikh\",\"totalprice\":999,\"depositpaid\":false,\"bookingdates\":{\"checkin\":\"2025-01-01\",\"checkout\":\"2026-01-01\"},\"additionalneeds\":\"Only\"}"</x:t>
  </x:si>
  <x:si>
    <x:t>Данные такие же как после первого запроса</x:t>
  </x:si>
  <x:si>
    <x:t>Данные такие же как после первого и второго запросов</x:t>
  </x:si>
  <x:si>
    <x:t>Проверяем неизменность данных после нескольких PUT запросов
curl -X GET https://restful-booker.herokuapp.com/booking/5</x:t>
  </x:si>
  <x:si>
    <x:t>Данные не изменились с момента первого запроса</x:t>
  </x:si>
  <x:si>
    <x:t>203</x:t>
  </x:si>
  <x:si>
    <x:t>Основной проект -&gt; Partial Update Booking</x:t>
  </x:si>
  <x:si>
    <x:t>9/22/2026 10:48:05</x:t>
  </x:si>
  <x:si>
    <x:t>Вставляем curl запрос
curl -X PATCH https://restful-booker.herokuapp.com/booking/5 -H "Content-Type: application/json" -H "Accept: application/json" -H "Authorization: Basic YWRtaW46cGFzc3dvcmQxMjM=" -d "{\"firstname\" : \"Koko\",\"lastname\" : \"Shannel\"}"</x:t>
  </x:si>
  <x:si>
    <x:t>204</x:t>
  </x:si>
  <x:si>
    <x:t>9/22/2026 10:58:04</x:t>
  </x:si>
  <x:si>
    <x:t>Вставляем curl запрос
curl -X PATCH https://restful-booker.herokuapp.com/booking/5 -H "Content-Type: application/json" -H "Accept: application/json" -H "Authorization: Basic YWRtaW46cGFzc3dvcmQxMjM=" -d "{\"firstname\" : \"Kuku\",\"lastname\" : \"Shannel\"}"</x:t>
  </x:si>
  <x:si>
    <x:t>Значение firstname изменено</x:t>
  </x:si>
  <x:si>
    <x:t>205</x:t>
  </x:si>
  <x:si>
    <x:t>9/22/2026 11:24:20</x:t>
  </x:si>
  <x:si>
    <x:t>Вставляем curl запрос
curl -X PATCH https://restful-booker.herokuapp.com/booking/5 -H "Content-Type: application/json" -H "Accept: application/json" -H "Authorization: Basic YWRtaW46cGFzc3dvcmQxMjM=" -d "\"firstname\" : \"Kuku\",\"lastname\" : \"Shannel\"}"</x:t>
  </x:si>
  <x:si>
    <x:t>206</x:t>
  </x:si>
  <x:si>
    <x:t>9/22/2026 15:15:12</x:t>
  </x:si>
  <x:si>
    <x:t>Вставляем curl запрос
curl -X PATCH https://restful-booker.herokuapp.com/booking/5 -H "Content-Type: application/json" -H "Accept: application/json" -H "Authorization: Basic YWRtaW46cGFzc3dvcmQxMjM="</x:t>
  </x:si>
  <x:si>
    <x:t>207</x:t>
  </x:si>
  <x:si>
    <x:t>9/22/2026 15:24:38</x:t>
  </x:si>
  <x:si>
    <x:t>Вставляем curl запрос
curl -X PATCH https://restful-booker.herokuapp.com/booking/000 -H "Content-Type: application/json" -H "Accept: application/json" -H "Authorization: Basic YWRtaW46cGFzc3dvcmQxMjM=" -d "{\"firstname\" : \"Kuku\",\"lastname\" : \"Shannel\"}"</x:t>
  </x:si>
  <x:si>
    <x:t>Значение не найдено</x:t>
  </x:si>
  <x:si>
    <x:t>208</x:t>
  </x:si>
  <x:si>
    <x:t>9/22/2026 15:26:57</x:t>
  </x:si>
  <x:si>
    <x:t>Вставляем curl запрос
curl -X PATCH https://restful-booker.herokuapp.com/booking -H "Content-Type: application/json" -H "Accept: application/json" -H "Authorization: Basic YWRtaW46cGFzc3dvcmQxMjM=" -d "{\"firstname\" : \"Kuku\",\"lastname\" : \"Shannel\"}"</x:t>
  </x:si>
  <x:si>
    <x:t>209</x:t>
  </x:si>
  <x:si>
    <x:t>9/22/2026 15:29:59</x:t>
  </x:si>
  <x:si>
    <x:t>Вставляем curl запрос
curl -X OPTIONS https://restful-booker.herokuapp.com/booking/5</x:t>
  </x:si>
  <x:si>
    <x:t>DELETE, GET, HEAD, PATCH, PUT</x:t>
  </x:si>
  <x:si>
    <x:t>210</x:t>
  </x:si>
  <x:si>
    <x:t>Основной проект -&gt; Delete Booking</x:t>
  </x:si>
  <x:si>
    <x:t>9/23/2026 10:14:46</x:t>
  </x:si>
  <x:si>
    <x:t>Вставляем curl запрос
curl -X DELETE https://restful-booker.herokuapp.com/booking/5 -H "Content-Type: application/json" -H "Accept: application/json" -H "Authorization: Basic YWRtaW46cGFzc3dvcmQxMjM="</x:t>
  </x:si>
  <x:si>
    <x:t>Created</x:t>
  </x:si>
  <x:si>
    <x:t>211</x:t>
  </x:si>
  <x:si>
    <x:t>9/23/2026 10:22:21</x:t>
  </x:si>
  <x:si>
    <x:t>Not Found</x:t>
  </x:si>
  <x:si>
    <x:t>212</x:t>
  </x:si>
  <x:si>
    <x:t>9/23/2026 10:23:32</x:t>
  </x:si>
  <x:si>
    <x:t>Not Found, Method Not Allowed</x:t>
  </x:si>
  <x:si>
    <x:t>213</x:t>
  </x:si>
  <x:si>
    <x:t>9/23/2026 10:29:46</x:t>
  </x:si>
  <x:si>
    <x:t>Вставляем curl запрос
curl -X DELETE https://restful-booker.herokuapp.com/booking/00 -H "Content-Type: application/json" -H "Accept: application/json" -H "Authorization: Basic YWRtaW46cGFzc3dvcmQxMjM="</x:t>
  </x:si>
  <x:si>
    <x:t>214</x:t>
  </x:si>
  <x:si>
    <x:t>Основной проект -&gt; Ping - Health Check</x:t>
  </x:si>
  <x:si>
    <x:t>9/23/2026 10:49:29</x:t>
  </x:si>
  <x:si>
    <x:t>Вставляем curl запрос
curl -i https://restful-booker.herokuapp.com/ping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</x:si>
</x:sst>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3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left" vertical="top" textRotation="0" wrapText="0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left" vertical="top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  <x:dxfs count="2">
    <x:dxf/>
    <x:dxf/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calcChain" Target="/xl/calcChain.xml" Id="rId6" /><Relationship Type="http://schemas.openxmlformats.org/officeDocument/2006/relationships/theme" Target="/xl/theme/theme1.xml" Id="rId7" /></Relationships>
</file>

<file path=xl/tables/table1.xml><?xml version="1.0" encoding="utf-8"?>
<x:table xmlns:x="http://schemas.openxmlformats.org/spreadsheetml/2006/main" id="1" name="Table1" displayName="Table1" ref="A1:Q255" totalsRowShown="0">
  <x:autoFilter ref="A1:Q255"/>
  <x:tableColumns count="17">
    <x:tableColumn id="1" name="ID" dataDxfId="0"/>
    <x:tableColumn id="2" name="Расположение" dataDxfId="1"/>
    <x:tableColumn id="3" name="Наименование" dataDxfId="1"/>
    <x:tableColumn id="4" name="Автоматизирован" dataDxfId="0"/>
    <x:tableColumn id="5" name="Предусловия"/>
    <x:tableColumn id="6" name="Шаги"/>
    <x:tableColumn id="7" name="Постусловия" dataDxfId="0"/>
    <x:tableColumn id="8" name="Ожидаемый результат" dataDxfId="0"/>
    <x:tableColumn id="9" name="Тестовые данные" dataDxfId="0"/>
    <x:tableColumn id="10" name="Комментарии" dataDxfId="0"/>
    <x:tableColumn id="11" name="Итерации" dataDxfId="0"/>
    <x:tableColumn id="12" name="Приоритет" dataDxfId="0"/>
    <x:tableColumn id="13" name="Статус" dataDxfId="0"/>
    <x:tableColumn id="14" name="Дата создания" dataDxfId="0"/>
    <x:tableColumn id="15" name="Автор" dataDxfId="0"/>
    <x:tableColumn id="16" name="Длительность" dataDxfId="0"/>
    <x:tableColumn id="17" name="Тег" dataDxfId="0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Id5" /></Relationships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Q255"/>
  <x:sheetViews>
    <x:sheetView workbookViewId="0"/>
  </x:sheetViews>
  <x:sheetFormatPr defaultRowHeight="15"/>
  <x:cols>
    <x:col min="18" max="16384" width="9.140625" style="1" customWidth="1"/>
    <x:col min="1" max="1" width="10.710625" style="1" customWidth="1"/>
    <x:col min="2" max="2" width="40.710625" style="2" customWidth="1"/>
    <x:col min="3" max="3" width="50.710625" style="2" customWidth="1"/>
    <x:col min="4" max="4" width="20.139196" style="1" customWidth="1"/>
    <x:col min="5" max="6" width="50.710625" style="1" customWidth="1"/>
    <x:col min="7" max="7" width="15.139196" style="1" customWidth="1"/>
    <x:col min="8" max="8" width="50.710625" style="1" customWidth="1"/>
    <x:col min="9" max="9" width="19.710625" style="1" customWidth="1"/>
    <x:col min="10" max="10" width="16.424911" style="1" customWidth="1"/>
    <x:col min="11" max="11" width="12.282054" style="1" customWidth="1"/>
    <x:col min="12" max="12" width="13.282054" style="1" customWidth="1"/>
    <x:col min="13" max="13" width="10.710625" style="1" customWidth="1"/>
    <x:col min="14" max="14" width="18.139196" style="1" customWidth="1"/>
    <x:col min="15" max="15" width="10.710625" style="1" customWidth="1"/>
    <x:col min="16" max="16" width="16.139196" style="1" customWidth="1"/>
    <x:col min="17" max="17" width="18.710625" style="1" customWidth="1"/>
  </x:cols>
  <x:sheetData>
    <x:row r="1" spans="1:17">
      <x:c r="A1" s="1" t="s">
        <x:v>0</x:v>
      </x:c>
      <x:c r="B1" s="2" t="s">
        <x:v>1</x:v>
      </x:c>
      <x:c r="C1" s="2" t="s">
        <x:v>2</x:v>
      </x:c>
      <x:c r="D1" s="1" t="s">
        <x:v>3</x:v>
      </x:c>
      <x:c r="E1" s="1" t="s">
        <x:v>4</x:v>
      </x:c>
      <x:c r="F1" s="1" t="s">
        <x:v>5</x:v>
      </x:c>
      <x:c r="G1" s="1" t="s">
        <x:v>6</x:v>
      </x:c>
      <x:c r="H1" s="1" t="s">
        <x:v>7</x:v>
      </x:c>
      <x:c r="I1" s="1" t="s">
        <x:v>8</x:v>
      </x:c>
      <x:c r="J1" s="1" t="s">
        <x:v>9</x:v>
      </x:c>
      <x:c r="K1" s="1" t="s">
        <x:v>10</x:v>
      </x:c>
      <x:c r="L1" s="1" t="s">
        <x:v>11</x:v>
      </x:c>
      <x:c r="M1" s="1" t="s">
        <x:v>12</x:v>
      </x:c>
      <x:c r="N1" s="1" t="s">
        <x:v>13</x:v>
      </x:c>
      <x:c r="O1" s="1" t="s">
        <x:v>14</x:v>
      </x:c>
      <x:c r="P1" s="1" t="s">
        <x:v>15</x:v>
      </x:c>
      <x:c r="Q1" s="1" t="s">
        <x:v>16</x:v>
      </x:c>
    </x:row>
    <x:row r="2" spans="1:17">
      <x:c r="A2" s="1" t="s">
        <x:v>17</x:v>
      </x:c>
      <x:c r="B2" s="2" t="s">
        <x:v>18</x:v>
      </x:c>
      <x:c r="C2" s="2">
        <x:f>HYPERLINK("https://team-w7jm.testit.software/projects/1/tests/117", "Аутентификация получение токена (используя корректные данные)")</x:f>
      </x:c>
      <x:c r="D2" s="1" t="s">
        <x:v>19</x:v>
      </x:c>
      <x:c r="E2" s="1" t="s">
        <x:v>20</x:v>
      </x:c>
      <x:c r="F2" s="1" t="s">
        <x:v>20</x:v>
      </x:c>
      <x:c r="G2" s="1" t="s">
        <x:v>20</x:v>
      </x:c>
      <x:c r="H2" s="1" t="s">
        <x:v>20</x:v>
      </x:c>
      <x:c r="I2" s="1" t="s">
        <x:v>20</x:v>
      </x:c>
      <x:c r="J2" s="1" t="s">
        <x:v>20</x:v>
      </x:c>
      <x:c r="K2" s="1" t="s">
        <x:v>20</x:v>
      </x:c>
      <x:c r="L2" s="1" t="s">
        <x:v>21</x:v>
      </x:c>
      <x:c r="M2" s="1" t="s">
        <x:v>22</x:v>
      </x:c>
      <x:c r="N2" s="1" t="s">
        <x:v>23</x:v>
      </x:c>
      <x:c r="O2" s="1" t="s">
        <x:v>24</x:v>
      </x:c>
      <x:c r="P2" s="1" t="s">
        <x:v>25</x:v>
      </x:c>
      <x:c r="Q2" s="1" t="s">
        <x:v>20</x:v>
      </x:c>
    </x:row>
    <x:row r="3" spans="1:17">
      <x:c r="A3" s="1" t="s">
        <x:v>20</x:v>
      </x:c>
      <x:c r="B3" s="2" t="s">
        <x:v>20</x:v>
      </x:c>
      <x:c r="C3" s="2" t="s">
        <x:v>20</x:v>
      </x:c>
      <x:c r="D3" s="1" t="s">
        <x:v>20</x:v>
      </x:c>
      <x:c r="E3" s="1" t="s">
        <x:v>26</x:v>
      </x:c>
      <x:c r="F3" s="1" t="s">
        <x:v>20</x:v>
      </x:c>
      <x:c r="G3" s="1" t="s">
        <x:v>20</x:v>
      </x:c>
      <x:c r="H3" s="1" t="s">
        <x:v>27</x:v>
      </x:c>
      <x:c r="I3" s="1" t="s">
        <x:v>20</x:v>
      </x:c>
      <x:c r="J3" s="1" t="s">
        <x:v>20</x:v>
      </x:c>
      <x:c r="K3" s="1" t="s">
        <x:v>20</x:v>
      </x:c>
      <x:c r="L3" s="1" t="s">
        <x:v>20</x:v>
      </x:c>
      <x:c r="M3" s="1" t="s">
        <x:v>20</x:v>
      </x:c>
      <x:c r="N3" s="1" t="s">
        <x:v>20</x:v>
      </x:c>
      <x:c r="O3" s="1" t="s">
        <x:v>20</x:v>
      </x:c>
      <x:c r="P3" s="1" t="s">
        <x:v>20</x:v>
      </x:c>
      <x:c r="Q3" s="1" t="s">
        <x:v>20</x:v>
      </x:c>
    </x:row>
    <x:row r="4" spans="1:17">
      <x:c r="A4" s="1" t="s">
        <x:v>20</x:v>
      </x:c>
      <x:c r="B4" s="2" t="s">
        <x:v>20</x:v>
      </x:c>
      <x:c r="C4" s="2" t="s">
        <x:v>20</x:v>
      </x:c>
      <x:c r="D4" s="1" t="s">
        <x:v>20</x:v>
      </x:c>
      <x:c r="E4" s="1" t="s">
        <x:v>20</x:v>
      </x:c>
      <x:c r="F4" s="2" t="s">
        <x:v>28</x:v>
      </x:c>
      <x:c r="G4" s="1" t="s">
        <x:v>20</x:v>
      </x:c>
      <x:c r="H4" s="1" t="s">
        <x:v>29</x:v>
      </x:c>
      <x:c r="I4" s="1" t="s">
        <x:v>20</x:v>
      </x:c>
      <x:c r="J4" s="1" t="s">
        <x:v>20</x:v>
      </x:c>
      <x:c r="K4" s="1" t="s">
        <x:v>20</x:v>
      </x:c>
      <x:c r="L4" s="1" t="s">
        <x:v>20</x:v>
      </x:c>
      <x:c r="M4" s="1" t="s">
        <x:v>20</x:v>
      </x:c>
      <x:c r="N4" s="1" t="s">
        <x:v>20</x:v>
      </x:c>
      <x:c r="O4" s="1" t="s">
        <x:v>20</x:v>
      </x:c>
      <x:c r="P4" s="1" t="s">
        <x:v>20</x:v>
      </x:c>
      <x:c r="Q4" s="1" t="s">
        <x:v>20</x:v>
      </x:c>
    </x:row>
    <x:row r="5" spans="1:17">
      <x:c r="A5" s="1" t="s">
        <x:v>20</x:v>
      </x:c>
      <x:c r="B5" s="2" t="s">
        <x:v>20</x:v>
      </x:c>
      <x:c r="C5" s="2" t="s">
        <x:v>20</x:v>
      </x:c>
      <x:c r="D5" s="1" t="s">
        <x:v>20</x:v>
      </x:c>
      <x:c r="E5" s="1" t="s">
        <x:v>20</x:v>
      </x:c>
      <x:c r="F5" s="1" t="s">
        <x:v>30</x:v>
      </x:c>
      <x:c r="G5" s="1" t="s">
        <x:v>20</x:v>
      </x:c>
      <x:c r="H5" s="1" t="s">
        <x:v>31</x:v>
      </x:c>
      <x:c r="I5" s="1" t="s">
        <x:v>20</x:v>
      </x:c>
      <x:c r="J5" s="1" t="s">
        <x:v>20</x:v>
      </x:c>
      <x:c r="K5" s="1" t="s">
        <x:v>20</x:v>
      </x:c>
      <x:c r="L5" s="1" t="s">
        <x:v>20</x:v>
      </x:c>
      <x:c r="M5" s="1" t="s">
        <x:v>20</x:v>
      </x:c>
      <x:c r="N5" s="1" t="s">
        <x:v>20</x:v>
      </x:c>
      <x:c r="O5" s="1" t="s">
        <x:v>20</x:v>
      </x:c>
      <x:c r="P5" s="1" t="s">
        <x:v>20</x:v>
      </x:c>
      <x:c r="Q5" s="1" t="s">
        <x:v>20</x:v>
      </x:c>
    </x:row>
    <x:row r="6" spans="1:17">
      <x:c r="A6" s="1" t="s">
        <x:v>32</x:v>
      </x:c>
      <x:c r="B6" s="2" t="s">
        <x:v>18</x:v>
      </x:c>
      <x:c r="C6" s="2">
        <x:f>HYPERLINK("https://team-w7jm.testit.software/projects/1/tests/118", "Аутентификация получение токена (поле username оставить пустым)")</x:f>
      </x:c>
      <x:c r="D6" s="1" t="s">
        <x:v>19</x:v>
      </x:c>
      <x:c r="E6" s="1" t="s">
        <x:v>20</x:v>
      </x:c>
      <x:c r="F6" s="1" t="s">
        <x:v>20</x:v>
      </x:c>
      <x:c r="G6" s="1" t="s">
        <x:v>20</x:v>
      </x:c>
      <x:c r="H6" s="1" t="s">
        <x:v>20</x:v>
      </x:c>
      <x:c r="I6" s="1" t="s">
        <x:v>20</x:v>
      </x:c>
      <x:c r="J6" s="1" t="s">
        <x:v>20</x:v>
      </x:c>
      <x:c r="K6" s="1" t="s">
        <x:v>20</x:v>
      </x:c>
      <x:c r="L6" s="1" t="s">
        <x:v>21</x:v>
      </x:c>
      <x:c r="M6" s="1" t="s">
        <x:v>22</x:v>
      </x:c>
      <x:c r="N6" s="1" t="s">
        <x:v>33</x:v>
      </x:c>
      <x:c r="O6" s="1" t="s">
        <x:v>24</x:v>
      </x:c>
      <x:c r="P6" s="1" t="s">
        <x:v>25</x:v>
      </x:c>
      <x:c r="Q6" s="1" t="s">
        <x:v>20</x:v>
      </x:c>
    </x:row>
    <x:row r="7" spans="1:17">
      <x:c r="A7" s="1" t="s">
        <x:v>20</x:v>
      </x:c>
      <x:c r="B7" s="2" t="s">
        <x:v>20</x:v>
      </x:c>
      <x:c r="C7" s="2" t="s">
        <x:v>20</x:v>
      </x:c>
      <x:c r="D7" s="1" t="s">
        <x:v>20</x:v>
      </x:c>
      <x:c r="E7" s="1" t="s">
        <x:v>26</x:v>
      </x:c>
      <x:c r="F7" s="1" t="s">
        <x:v>20</x:v>
      </x:c>
      <x:c r="G7" s="1" t="s">
        <x:v>20</x:v>
      </x:c>
      <x:c r="H7" s="1" t="s">
        <x:v>27</x:v>
      </x:c>
      <x:c r="I7" s="1" t="s">
        <x:v>20</x:v>
      </x:c>
      <x:c r="J7" s="1" t="s">
        <x:v>20</x:v>
      </x:c>
      <x:c r="K7" s="1" t="s">
        <x:v>20</x:v>
      </x:c>
      <x:c r="L7" s="1" t="s">
        <x:v>20</x:v>
      </x:c>
      <x:c r="M7" s="1" t="s">
        <x:v>20</x:v>
      </x:c>
      <x:c r="N7" s="1" t="s">
        <x:v>20</x:v>
      </x:c>
      <x:c r="O7" s="1" t="s">
        <x:v>20</x:v>
      </x:c>
      <x:c r="P7" s="1" t="s">
        <x:v>20</x:v>
      </x:c>
      <x:c r="Q7" s="1" t="s">
        <x:v>20</x:v>
      </x:c>
    </x:row>
    <x:row r="8" spans="1:17">
      <x:c r="A8" s="1" t="s">
        <x:v>20</x:v>
      </x:c>
      <x:c r="B8" s="2" t="s">
        <x:v>20</x:v>
      </x:c>
      <x:c r="C8" s="2" t="s">
        <x:v>20</x:v>
      </x:c>
      <x:c r="D8" s="1" t="s">
        <x:v>20</x:v>
      </x:c>
      <x:c r="E8" s="1" t="s">
        <x:v>20</x:v>
      </x:c>
      <x:c r="F8" s="1" t="s">
        <x:v>34</x:v>
      </x:c>
      <x:c r="G8" s="1" t="s">
        <x:v>20</x:v>
      </x:c>
      <x:c r="H8" s="1" t="s">
        <x:v>29</x:v>
      </x:c>
      <x:c r="I8" s="1" t="s">
        <x:v>20</x:v>
      </x:c>
      <x:c r="J8" s="1" t="s">
        <x:v>20</x:v>
      </x:c>
      <x:c r="K8" s="1" t="s">
        <x:v>20</x:v>
      </x:c>
      <x:c r="L8" s="1" t="s">
        <x:v>20</x:v>
      </x:c>
      <x:c r="M8" s="1" t="s">
        <x:v>20</x:v>
      </x:c>
      <x:c r="N8" s="1" t="s">
        <x:v>20</x:v>
      </x:c>
      <x:c r="O8" s="1" t="s">
        <x:v>20</x:v>
      </x:c>
      <x:c r="P8" s="1" t="s">
        <x:v>20</x:v>
      </x:c>
      <x:c r="Q8" s="1" t="s">
        <x:v>20</x:v>
      </x:c>
    </x:row>
    <x:row r="9" spans="1:17">
      <x:c r="A9" s="1" t="s">
        <x:v>20</x:v>
      </x:c>
      <x:c r="B9" s="2" t="s">
        <x:v>20</x:v>
      </x:c>
      <x:c r="C9" s="2" t="s">
        <x:v>20</x:v>
      </x:c>
      <x:c r="D9" s="1" t="s">
        <x:v>20</x:v>
      </x:c>
      <x:c r="E9" s="1" t="s">
        <x:v>20</x:v>
      </x:c>
      <x:c r="F9" s="1" t="s">
        <x:v>30</x:v>
      </x:c>
      <x:c r="G9" s="1" t="s">
        <x:v>20</x:v>
      </x:c>
      <x:c r="H9" s="1" t="s">
        <x:v>35</x:v>
      </x:c>
      <x:c r="I9" s="1" t="s">
        <x:v>20</x:v>
      </x:c>
      <x:c r="J9" s="1" t="s">
        <x:v>20</x:v>
      </x:c>
      <x:c r="K9" s="1" t="s">
        <x:v>20</x:v>
      </x:c>
      <x:c r="L9" s="1" t="s">
        <x:v>20</x:v>
      </x:c>
      <x:c r="M9" s="1" t="s">
        <x:v>20</x:v>
      </x:c>
      <x:c r="N9" s="1" t="s">
        <x:v>20</x:v>
      </x:c>
      <x:c r="O9" s="1" t="s">
        <x:v>20</x:v>
      </x:c>
      <x:c r="P9" s="1" t="s">
        <x:v>20</x:v>
      </x:c>
      <x:c r="Q9" s="1" t="s">
        <x:v>20</x:v>
      </x:c>
    </x:row>
    <x:row r="10" spans="1:17">
      <x:c r="A10" s="1" t="s">
        <x:v>36</x:v>
      </x:c>
      <x:c r="B10" s="2" t="s">
        <x:v>18</x:v>
      </x:c>
      <x:c r="C10" s="2">
        <x:f>HYPERLINK("https://team-w7jm.testit.software/projects/1/tests/119", "Аутентификация получение токена (в поле username вводим admn)")</x:f>
      </x:c>
      <x:c r="D10" s="1" t="s">
        <x:v>19</x:v>
      </x:c>
      <x:c r="E10" s="1" t="s">
        <x:v>20</x:v>
      </x:c>
      <x:c r="F10" s="1" t="s">
        <x:v>20</x:v>
      </x:c>
      <x:c r="G10" s="1" t="s">
        <x:v>20</x:v>
      </x:c>
      <x:c r="H10" s="1" t="s">
        <x:v>20</x:v>
      </x:c>
      <x:c r="I10" s="1" t="s">
        <x:v>20</x:v>
      </x:c>
      <x:c r="J10" s="1" t="s">
        <x:v>20</x:v>
      </x:c>
      <x:c r="K10" s="1" t="s">
        <x:v>20</x:v>
      </x:c>
      <x:c r="L10" s="1" t="s">
        <x:v>21</x:v>
      </x:c>
      <x:c r="M10" s="1" t="s">
        <x:v>22</x:v>
      </x:c>
      <x:c r="N10" s="1" t="s">
        <x:v>37</x:v>
      </x:c>
      <x:c r="O10" s="1" t="s">
        <x:v>24</x:v>
      </x:c>
      <x:c r="P10" s="1" t="s">
        <x:v>25</x:v>
      </x:c>
      <x:c r="Q10" s="1" t="s">
        <x:v>20</x:v>
      </x:c>
    </x:row>
    <x:row r="11" spans="1:17">
      <x:c r="A11" s="1" t="s">
        <x:v>20</x:v>
      </x:c>
      <x:c r="B11" s="2" t="s">
        <x:v>20</x:v>
      </x:c>
      <x:c r="C11" s="2" t="s">
        <x:v>20</x:v>
      </x:c>
      <x:c r="D11" s="1" t="s">
        <x:v>20</x:v>
      </x:c>
      <x:c r="E11" s="1" t="s">
        <x:v>26</x:v>
      </x:c>
      <x:c r="F11" s="1" t="s">
        <x:v>20</x:v>
      </x:c>
      <x:c r="G11" s="1" t="s">
        <x:v>20</x:v>
      </x:c>
      <x:c r="H11" s="1" t="s">
        <x:v>27</x:v>
      </x:c>
      <x:c r="I11" s="1" t="s">
        <x:v>20</x:v>
      </x:c>
      <x:c r="J11" s="1" t="s">
        <x:v>20</x:v>
      </x:c>
      <x:c r="K11" s="1" t="s">
        <x:v>20</x:v>
      </x:c>
      <x:c r="L11" s="1" t="s">
        <x:v>20</x:v>
      </x:c>
      <x:c r="M11" s="1" t="s">
        <x:v>20</x:v>
      </x:c>
      <x:c r="N11" s="1" t="s">
        <x:v>20</x:v>
      </x:c>
      <x:c r="O11" s="1" t="s">
        <x:v>20</x:v>
      </x:c>
      <x:c r="P11" s="1" t="s">
        <x:v>20</x:v>
      </x:c>
      <x:c r="Q11" s="1" t="s">
        <x:v>20</x:v>
      </x:c>
    </x:row>
    <x:row r="12" spans="1:17">
      <x:c r="A12" s="1" t="s">
        <x:v>20</x:v>
      </x:c>
      <x:c r="B12" s="2" t="s">
        <x:v>20</x:v>
      </x:c>
      <x:c r="C12" s="2" t="s">
        <x:v>20</x:v>
      </x:c>
      <x:c r="D12" s="1" t="s">
        <x:v>20</x:v>
      </x:c>
      <x:c r="E12" s="1" t="s">
        <x:v>20</x:v>
      </x:c>
      <x:c r="F12" s="1" t="s">
        <x:v>38</x:v>
      </x:c>
      <x:c r="G12" s="1" t="s">
        <x:v>20</x:v>
      </x:c>
      <x:c r="H12" s="1" t="s">
        <x:v>29</x:v>
      </x:c>
      <x:c r="I12" s="1" t="s">
        <x:v>20</x:v>
      </x:c>
      <x:c r="J12" s="1" t="s">
        <x:v>20</x:v>
      </x:c>
      <x:c r="K12" s="1" t="s">
        <x:v>20</x:v>
      </x:c>
      <x:c r="L12" s="1" t="s">
        <x:v>20</x:v>
      </x:c>
      <x:c r="M12" s="1" t="s">
        <x:v>20</x:v>
      </x:c>
      <x:c r="N12" s="1" t="s">
        <x:v>20</x:v>
      </x:c>
      <x:c r="O12" s="1" t="s">
        <x:v>20</x:v>
      </x:c>
      <x:c r="P12" s="1" t="s">
        <x:v>20</x:v>
      </x:c>
      <x:c r="Q12" s="1" t="s">
        <x:v>20</x:v>
      </x:c>
    </x:row>
    <x:row r="13" spans="1:17">
      <x:c r="A13" s="1" t="s">
        <x:v>20</x:v>
      </x:c>
      <x:c r="B13" s="2" t="s">
        <x:v>20</x:v>
      </x:c>
      <x:c r="C13" s="2" t="s">
        <x:v>20</x:v>
      </x:c>
      <x:c r="D13" s="1" t="s">
        <x:v>20</x:v>
      </x:c>
      <x:c r="E13" s="1" t="s">
        <x:v>20</x:v>
      </x:c>
      <x:c r="F13" s="1" t="s">
        <x:v>30</x:v>
      </x:c>
      <x:c r="G13" s="1" t="s">
        <x:v>20</x:v>
      </x:c>
      <x:c r="H13" s="1" t="s">
        <x:v>35</x:v>
      </x:c>
      <x:c r="I13" s="1" t="s">
        <x:v>20</x:v>
      </x:c>
      <x:c r="J13" s="1" t="s">
        <x:v>20</x:v>
      </x:c>
      <x:c r="K13" s="1" t="s">
        <x:v>20</x:v>
      </x:c>
      <x:c r="L13" s="1" t="s">
        <x:v>20</x:v>
      </x:c>
      <x:c r="M13" s="1" t="s">
        <x:v>20</x:v>
      </x:c>
      <x:c r="N13" s="1" t="s">
        <x:v>20</x:v>
      </x:c>
      <x:c r="O13" s="1" t="s">
        <x:v>20</x:v>
      </x:c>
      <x:c r="P13" s="1" t="s">
        <x:v>20</x:v>
      </x:c>
      <x:c r="Q13" s="1" t="s">
        <x:v>20</x:v>
      </x:c>
    </x:row>
    <x:row r="14" spans="1:17">
      <x:c r="A14" s="1" t="s">
        <x:v>39</x:v>
      </x:c>
      <x:c r="B14" s="2" t="s">
        <x:v>18</x:v>
      </x:c>
      <x:c r="C14" s="2">
        <x:f>HYPERLINK("https://team-w7jm.testit.software/projects/1/tests/120", "Аутентификация получение токена (в поле username вводим admina)")</x:f>
      </x:c>
      <x:c r="D14" s="1" t="s">
        <x:v>19</x:v>
      </x:c>
      <x:c r="E14" s="1" t="s">
        <x:v>20</x:v>
      </x:c>
      <x:c r="F14" s="1" t="s">
        <x:v>20</x:v>
      </x:c>
      <x:c r="G14" s="1" t="s">
        <x:v>20</x:v>
      </x:c>
      <x:c r="H14" s="1" t="s">
        <x:v>20</x:v>
      </x:c>
      <x:c r="I14" s="1" t="s">
        <x:v>20</x:v>
      </x:c>
      <x:c r="J14" s="1" t="s">
        <x:v>20</x:v>
      </x:c>
      <x:c r="K14" s="1" t="s">
        <x:v>20</x:v>
      </x:c>
      <x:c r="L14" s="1" t="s">
        <x:v>21</x:v>
      </x:c>
      <x:c r="M14" s="1" t="s">
        <x:v>22</x:v>
      </x:c>
      <x:c r="N14" s="1" t="s">
        <x:v>40</x:v>
      </x:c>
      <x:c r="O14" s="1" t="s">
        <x:v>24</x:v>
      </x:c>
      <x:c r="P14" s="1" t="s">
        <x:v>25</x:v>
      </x:c>
      <x:c r="Q14" s="1" t="s">
        <x:v>20</x:v>
      </x:c>
    </x:row>
    <x:row r="15" spans="1:17">
      <x:c r="A15" s="1" t="s">
        <x:v>20</x:v>
      </x:c>
      <x:c r="B15" s="2" t="s">
        <x:v>20</x:v>
      </x:c>
      <x:c r="C15" s="2" t="s">
        <x:v>20</x:v>
      </x:c>
      <x:c r="D15" s="1" t="s">
        <x:v>20</x:v>
      </x:c>
      <x:c r="E15" s="1" t="s">
        <x:v>26</x:v>
      </x:c>
      <x:c r="F15" s="1" t="s">
        <x:v>20</x:v>
      </x:c>
      <x:c r="G15" s="1" t="s">
        <x:v>20</x:v>
      </x:c>
      <x:c r="H15" s="1" t="s">
        <x:v>27</x:v>
      </x:c>
      <x:c r="I15" s="1" t="s">
        <x:v>20</x:v>
      </x:c>
      <x:c r="J15" s="1" t="s">
        <x:v>20</x:v>
      </x:c>
      <x:c r="K15" s="1" t="s">
        <x:v>20</x:v>
      </x:c>
      <x:c r="L15" s="1" t="s">
        <x:v>20</x:v>
      </x:c>
      <x:c r="M15" s="1" t="s">
        <x:v>20</x:v>
      </x:c>
      <x:c r="N15" s="1" t="s">
        <x:v>20</x:v>
      </x:c>
      <x:c r="O15" s="1" t="s">
        <x:v>20</x:v>
      </x:c>
      <x:c r="P15" s="1" t="s">
        <x:v>20</x:v>
      </x:c>
      <x:c r="Q15" s="1" t="s">
        <x:v>20</x:v>
      </x:c>
    </x:row>
    <x:row r="16" spans="1:17">
      <x:c r="A16" s="1" t="s">
        <x:v>20</x:v>
      </x:c>
      <x:c r="B16" s="2" t="s">
        <x:v>20</x:v>
      </x:c>
      <x:c r="C16" s="2" t="s">
        <x:v>20</x:v>
      </x:c>
      <x:c r="D16" s="1" t="s">
        <x:v>20</x:v>
      </x:c>
      <x:c r="E16" s="1" t="s">
        <x:v>20</x:v>
      </x:c>
      <x:c r="F16" s="1" t="s">
        <x:v>41</x:v>
      </x:c>
      <x:c r="G16" s="1" t="s">
        <x:v>20</x:v>
      </x:c>
      <x:c r="H16" s="1" t="s">
        <x:v>29</x:v>
      </x:c>
      <x:c r="I16" s="1" t="s">
        <x:v>20</x:v>
      </x:c>
      <x:c r="J16" s="1" t="s">
        <x:v>20</x:v>
      </x:c>
      <x:c r="K16" s="1" t="s">
        <x:v>20</x:v>
      </x:c>
      <x:c r="L16" s="1" t="s">
        <x:v>20</x:v>
      </x:c>
      <x:c r="M16" s="1" t="s">
        <x:v>20</x:v>
      </x:c>
      <x:c r="N16" s="1" t="s">
        <x:v>20</x:v>
      </x:c>
      <x:c r="O16" s="1" t="s">
        <x:v>20</x:v>
      </x:c>
      <x:c r="P16" s="1" t="s">
        <x:v>20</x:v>
      </x:c>
      <x:c r="Q16" s="1" t="s">
        <x:v>20</x:v>
      </x:c>
    </x:row>
    <x:row r="17" spans="1:17">
      <x:c r="A17" s="1" t="s">
        <x:v>20</x:v>
      </x:c>
      <x:c r="B17" s="2" t="s">
        <x:v>20</x:v>
      </x:c>
      <x:c r="C17" s="2" t="s">
        <x:v>20</x:v>
      </x:c>
      <x:c r="D17" s="1" t="s">
        <x:v>20</x:v>
      </x:c>
      <x:c r="E17" s="1" t="s">
        <x:v>20</x:v>
      </x:c>
      <x:c r="F17" s="1" t="s">
        <x:v>30</x:v>
      </x:c>
      <x:c r="G17" s="1" t="s">
        <x:v>20</x:v>
      </x:c>
      <x:c r="H17" s="1" t="s">
        <x:v>35</x:v>
      </x:c>
      <x:c r="I17" s="1" t="s">
        <x:v>20</x:v>
      </x:c>
      <x:c r="J17" s="1" t="s">
        <x:v>20</x:v>
      </x:c>
      <x:c r="K17" s="1" t="s">
        <x:v>20</x:v>
      </x:c>
      <x:c r="L17" s="1" t="s">
        <x:v>20</x:v>
      </x:c>
      <x:c r="M17" s="1" t="s">
        <x:v>20</x:v>
      </x:c>
      <x:c r="N17" s="1" t="s">
        <x:v>20</x:v>
      </x:c>
      <x:c r="O17" s="1" t="s">
        <x:v>20</x:v>
      </x:c>
      <x:c r="P17" s="1" t="s">
        <x:v>20</x:v>
      </x:c>
      <x:c r="Q17" s="1" t="s">
        <x:v>20</x:v>
      </x:c>
    </x:row>
    <x:row r="18" spans="1:17">
      <x:c r="A18" s="1" t="s">
        <x:v>42</x:v>
      </x:c>
      <x:c r="B18" s="2" t="s">
        <x:v>18</x:v>
      </x:c>
      <x:c r="C18" s="2">
        <x:f>HYPERLINK("https://team-w7jm.testit.software/projects/1/tests/121", "Аутентификация получение токена (в поле username вводим ADMIN в верхнем регистре)")</x:f>
      </x:c>
      <x:c r="D18" s="1" t="s">
        <x:v>19</x:v>
      </x:c>
      <x:c r="E18" s="1" t="s">
        <x:v>20</x:v>
      </x:c>
      <x:c r="F18" s="1" t="s">
        <x:v>20</x:v>
      </x:c>
      <x:c r="G18" s="1" t="s">
        <x:v>20</x:v>
      </x:c>
      <x:c r="H18" s="1" t="s">
        <x:v>20</x:v>
      </x:c>
      <x:c r="I18" s="1" t="s">
        <x:v>20</x:v>
      </x:c>
      <x:c r="J18" s="1" t="s">
        <x:v>20</x:v>
      </x:c>
      <x:c r="K18" s="1" t="s">
        <x:v>20</x:v>
      </x:c>
      <x:c r="L18" s="1" t="s">
        <x:v>21</x:v>
      </x:c>
      <x:c r="M18" s="1" t="s">
        <x:v>22</x:v>
      </x:c>
      <x:c r="N18" s="1" t="s">
        <x:v>43</x:v>
      </x:c>
      <x:c r="O18" s="1" t="s">
        <x:v>24</x:v>
      </x:c>
      <x:c r="P18" s="1" t="s">
        <x:v>25</x:v>
      </x:c>
      <x:c r="Q18" s="1" t="s">
        <x:v>20</x:v>
      </x:c>
    </x:row>
    <x:row r="19" spans="1:17">
      <x:c r="A19" s="1" t="s">
        <x:v>20</x:v>
      </x:c>
      <x:c r="B19" s="2" t="s">
        <x:v>20</x:v>
      </x:c>
      <x:c r="C19" s="2" t="s">
        <x:v>20</x:v>
      </x:c>
      <x:c r="D19" s="1" t="s">
        <x:v>20</x:v>
      </x:c>
      <x:c r="E19" s="1" t="s">
        <x:v>26</x:v>
      </x:c>
      <x:c r="F19" s="1" t="s">
        <x:v>20</x:v>
      </x:c>
      <x:c r="G19" s="1" t="s">
        <x:v>20</x:v>
      </x:c>
      <x:c r="H19" s="1" t="s">
        <x:v>27</x:v>
      </x:c>
      <x:c r="I19" s="1" t="s">
        <x:v>20</x:v>
      </x:c>
      <x:c r="J19" s="1" t="s">
        <x:v>20</x:v>
      </x:c>
      <x:c r="K19" s="1" t="s">
        <x:v>20</x:v>
      </x:c>
      <x:c r="L19" s="1" t="s">
        <x:v>20</x:v>
      </x:c>
      <x:c r="M19" s="1" t="s">
        <x:v>20</x:v>
      </x:c>
      <x:c r="N19" s="1" t="s">
        <x:v>20</x:v>
      </x:c>
      <x:c r="O19" s="1" t="s">
        <x:v>20</x:v>
      </x:c>
      <x:c r="P19" s="1" t="s">
        <x:v>20</x:v>
      </x:c>
      <x:c r="Q19" s="1" t="s">
        <x:v>20</x:v>
      </x:c>
    </x:row>
    <x:row r="20" spans="1:17">
      <x:c r="A20" s="1" t="s">
        <x:v>20</x:v>
      </x:c>
      <x:c r="B20" s="2" t="s">
        <x:v>20</x:v>
      </x:c>
      <x:c r="C20" s="2" t="s">
        <x:v>20</x:v>
      </x:c>
      <x:c r="D20" s="1" t="s">
        <x:v>20</x:v>
      </x:c>
      <x:c r="E20" s="1" t="s">
        <x:v>20</x:v>
      </x:c>
      <x:c r="F20" s="1" t="s">
        <x:v>44</x:v>
      </x:c>
      <x:c r="G20" s="1" t="s">
        <x:v>20</x:v>
      </x:c>
      <x:c r="H20" s="1" t="s">
        <x:v>29</x:v>
      </x:c>
      <x:c r="I20" s="1" t="s">
        <x:v>20</x:v>
      </x:c>
      <x:c r="J20" s="1" t="s">
        <x:v>20</x:v>
      </x:c>
      <x:c r="K20" s="1" t="s">
        <x:v>20</x:v>
      </x:c>
      <x:c r="L20" s="1" t="s">
        <x:v>20</x:v>
      </x:c>
      <x:c r="M20" s="1" t="s">
        <x:v>20</x:v>
      </x:c>
      <x:c r="N20" s="1" t="s">
        <x:v>20</x:v>
      </x:c>
      <x:c r="O20" s="1" t="s">
        <x:v>20</x:v>
      </x:c>
      <x:c r="P20" s="1" t="s">
        <x:v>20</x:v>
      </x:c>
      <x:c r="Q20" s="1" t="s">
        <x:v>20</x:v>
      </x:c>
    </x:row>
    <x:row r="21" spans="1:17">
      <x:c r="A21" s="1" t="s">
        <x:v>20</x:v>
      </x:c>
      <x:c r="B21" s="2" t="s">
        <x:v>20</x:v>
      </x:c>
      <x:c r="C21" s="2" t="s">
        <x:v>20</x:v>
      </x:c>
      <x:c r="D21" s="1" t="s">
        <x:v>20</x:v>
      </x:c>
      <x:c r="E21" s="1" t="s">
        <x:v>20</x:v>
      </x:c>
      <x:c r="F21" s="1" t="s">
        <x:v>30</x:v>
      </x:c>
      <x:c r="G21" s="1" t="s">
        <x:v>20</x:v>
      </x:c>
      <x:c r="H21" s="1" t="s">
        <x:v>35</x:v>
      </x:c>
      <x:c r="I21" s="1" t="s">
        <x:v>20</x:v>
      </x:c>
      <x:c r="J21" s="1" t="s">
        <x:v>20</x:v>
      </x:c>
      <x:c r="K21" s="1" t="s">
        <x:v>20</x:v>
      </x:c>
      <x:c r="L21" s="1" t="s">
        <x:v>20</x:v>
      </x:c>
      <x:c r="M21" s="1" t="s">
        <x:v>20</x:v>
      </x:c>
      <x:c r="N21" s="1" t="s">
        <x:v>20</x:v>
      </x:c>
      <x:c r="O21" s="1" t="s">
        <x:v>20</x:v>
      </x:c>
      <x:c r="P21" s="1" t="s">
        <x:v>20</x:v>
      </x:c>
      <x:c r="Q21" s="1" t="s">
        <x:v>20</x:v>
      </x:c>
    </x:row>
    <x:row r="22" spans="1:17">
      <x:c r="A22" s="1" t="s">
        <x:v>45</x:v>
      </x:c>
      <x:c r="B22" s="2" t="s">
        <x:v>18</x:v>
      </x:c>
      <x:c r="C22" s="2">
        <x:f>HYPERLINK("https://team-w7jm.testit.software/projects/1/tests/122", "Аутентификация получение токена (в поле username вводим пробелы)")</x:f>
      </x:c>
      <x:c r="D22" s="1" t="s">
        <x:v>19</x:v>
      </x:c>
      <x:c r="E22" s="1" t="s">
        <x:v>20</x:v>
      </x:c>
      <x:c r="F22" s="1" t="s">
        <x:v>20</x:v>
      </x:c>
      <x:c r="G22" s="1" t="s">
        <x:v>20</x:v>
      </x:c>
      <x:c r="H22" s="1" t="s">
        <x:v>20</x:v>
      </x:c>
      <x:c r="I22" s="1" t="s">
        <x:v>20</x:v>
      </x:c>
      <x:c r="J22" s="1" t="s">
        <x:v>20</x:v>
      </x:c>
      <x:c r="K22" s="1" t="s">
        <x:v>20</x:v>
      </x:c>
      <x:c r="L22" s="1" t="s">
        <x:v>21</x:v>
      </x:c>
      <x:c r="M22" s="1" t="s">
        <x:v>22</x:v>
      </x:c>
      <x:c r="N22" s="1" t="s">
        <x:v>46</x:v>
      </x:c>
      <x:c r="O22" s="1" t="s">
        <x:v>24</x:v>
      </x:c>
      <x:c r="P22" s="1" t="s">
        <x:v>25</x:v>
      </x:c>
      <x:c r="Q22" s="1" t="s">
        <x:v>20</x:v>
      </x:c>
    </x:row>
    <x:row r="23" spans="1:17">
      <x:c r="A23" s="1" t="s">
        <x:v>20</x:v>
      </x:c>
      <x:c r="B23" s="2" t="s">
        <x:v>20</x:v>
      </x:c>
      <x:c r="C23" s="2" t="s">
        <x:v>20</x:v>
      </x:c>
      <x:c r="D23" s="1" t="s">
        <x:v>20</x:v>
      </x:c>
      <x:c r="E23" s="1" t="s">
        <x:v>26</x:v>
      </x:c>
      <x:c r="F23" s="1" t="s">
        <x:v>20</x:v>
      </x:c>
      <x:c r="G23" s="1" t="s">
        <x:v>20</x:v>
      </x:c>
      <x:c r="H23" s="1" t="s">
        <x:v>27</x:v>
      </x:c>
      <x:c r="I23" s="1" t="s">
        <x:v>20</x:v>
      </x:c>
      <x:c r="J23" s="1" t="s">
        <x:v>20</x:v>
      </x:c>
      <x:c r="K23" s="1" t="s">
        <x:v>20</x:v>
      </x:c>
      <x:c r="L23" s="1" t="s">
        <x:v>20</x:v>
      </x:c>
      <x:c r="M23" s="1" t="s">
        <x:v>20</x:v>
      </x:c>
      <x:c r="N23" s="1" t="s">
        <x:v>20</x:v>
      </x:c>
      <x:c r="O23" s="1" t="s">
        <x:v>20</x:v>
      </x:c>
      <x:c r="P23" s="1" t="s">
        <x:v>20</x:v>
      </x:c>
      <x:c r="Q23" s="1" t="s">
        <x:v>20</x:v>
      </x:c>
    </x:row>
    <x:row r="24" spans="1:17">
      <x:c r="A24" s="1" t="s">
        <x:v>20</x:v>
      </x:c>
      <x:c r="B24" s="2" t="s">
        <x:v>20</x:v>
      </x:c>
      <x:c r="C24" s="2" t="s">
        <x:v>20</x:v>
      </x:c>
      <x:c r="D24" s="1" t="s">
        <x:v>20</x:v>
      </x:c>
      <x:c r="E24" s="1" t="s">
        <x:v>20</x:v>
      </x:c>
      <x:c r="F24" s="1" t="s">
        <x:v>47</x:v>
      </x:c>
      <x:c r="G24" s="1" t="s">
        <x:v>20</x:v>
      </x:c>
      <x:c r="H24" s="1" t="s">
        <x:v>29</x:v>
      </x:c>
      <x:c r="I24" s="1" t="s">
        <x:v>20</x:v>
      </x:c>
      <x:c r="J24" s="1" t="s">
        <x:v>20</x:v>
      </x:c>
      <x:c r="K24" s="1" t="s">
        <x:v>20</x:v>
      </x:c>
      <x:c r="L24" s="1" t="s">
        <x:v>20</x:v>
      </x:c>
      <x:c r="M24" s="1" t="s">
        <x:v>20</x:v>
      </x:c>
      <x:c r="N24" s="1" t="s">
        <x:v>20</x:v>
      </x:c>
      <x:c r="O24" s="1" t="s">
        <x:v>20</x:v>
      </x:c>
      <x:c r="P24" s="1" t="s">
        <x:v>20</x:v>
      </x:c>
      <x:c r="Q24" s="1" t="s">
        <x:v>20</x:v>
      </x:c>
    </x:row>
    <x:row r="25" spans="1:17">
      <x:c r="A25" s="1" t="s">
        <x:v>20</x:v>
      </x:c>
      <x:c r="B25" s="2" t="s">
        <x:v>20</x:v>
      </x:c>
      <x:c r="C25" s="2" t="s">
        <x:v>20</x:v>
      </x:c>
      <x:c r="D25" s="1" t="s">
        <x:v>20</x:v>
      </x:c>
      <x:c r="E25" s="1" t="s">
        <x:v>20</x:v>
      </x:c>
      <x:c r="F25" s="1" t="s">
        <x:v>30</x:v>
      </x:c>
      <x:c r="G25" s="1" t="s">
        <x:v>20</x:v>
      </x:c>
      <x:c r="H25" s="1" t="s">
        <x:v>35</x:v>
      </x:c>
      <x:c r="I25" s="1" t="s">
        <x:v>20</x:v>
      </x:c>
      <x:c r="J25" s="1" t="s">
        <x:v>20</x:v>
      </x:c>
      <x:c r="K25" s="1" t="s">
        <x:v>20</x:v>
      </x:c>
      <x:c r="L25" s="1" t="s">
        <x:v>20</x:v>
      </x:c>
      <x:c r="M25" s="1" t="s">
        <x:v>20</x:v>
      </x:c>
      <x:c r="N25" s="1" t="s">
        <x:v>20</x:v>
      </x:c>
      <x:c r="O25" s="1" t="s">
        <x:v>20</x:v>
      </x:c>
      <x:c r="P25" s="1" t="s">
        <x:v>20</x:v>
      </x:c>
      <x:c r="Q25" s="1" t="s">
        <x:v>20</x:v>
      </x:c>
    </x:row>
    <x:row r="26" spans="1:17">
      <x:c r="A26" s="1" t="s">
        <x:v>48</x:v>
      </x:c>
      <x:c r="B26" s="2" t="s">
        <x:v>18</x:v>
      </x:c>
      <x:c r="C26" s="2">
        <x:f>HYPERLINK("https://team-w7jm.testit.software/projects/1/tests/123", "Аутентификация получение токена (в поле username вводим цифры)")</x:f>
      </x:c>
      <x:c r="D26" s="1" t="s">
        <x:v>19</x:v>
      </x:c>
      <x:c r="E26" s="1" t="s">
        <x:v>20</x:v>
      </x:c>
      <x:c r="F26" s="1" t="s">
        <x:v>20</x:v>
      </x:c>
      <x:c r="G26" s="1" t="s">
        <x:v>20</x:v>
      </x:c>
      <x:c r="H26" s="1" t="s">
        <x:v>20</x:v>
      </x:c>
      <x:c r="I26" s="1" t="s">
        <x:v>20</x:v>
      </x:c>
      <x:c r="J26" s="1" t="s">
        <x:v>20</x:v>
      </x:c>
      <x:c r="K26" s="1" t="s">
        <x:v>20</x:v>
      </x:c>
      <x:c r="L26" s="1" t="s">
        <x:v>21</x:v>
      </x:c>
      <x:c r="M26" s="1" t="s">
        <x:v>22</x:v>
      </x:c>
      <x:c r="N26" s="1" t="s">
        <x:v>49</x:v>
      </x:c>
      <x:c r="O26" s="1" t="s">
        <x:v>24</x:v>
      </x:c>
      <x:c r="P26" s="1" t="s">
        <x:v>25</x:v>
      </x:c>
      <x:c r="Q26" s="1" t="s">
        <x:v>20</x:v>
      </x:c>
    </x:row>
    <x:row r="27" spans="1:17">
      <x:c r="A27" s="1" t="s">
        <x:v>20</x:v>
      </x:c>
      <x:c r="B27" s="2" t="s">
        <x:v>20</x:v>
      </x:c>
      <x:c r="C27" s="2" t="s">
        <x:v>20</x:v>
      </x:c>
      <x:c r="D27" s="1" t="s">
        <x:v>20</x:v>
      </x:c>
      <x:c r="E27" s="1" t="s">
        <x:v>26</x:v>
      </x:c>
      <x:c r="F27" s="1" t="s">
        <x:v>20</x:v>
      </x:c>
      <x:c r="G27" s="1" t="s">
        <x:v>20</x:v>
      </x:c>
      <x:c r="H27" s="1" t="s">
        <x:v>27</x:v>
      </x:c>
      <x:c r="I27" s="1" t="s">
        <x:v>20</x:v>
      </x:c>
      <x:c r="J27" s="1" t="s">
        <x:v>20</x:v>
      </x:c>
      <x:c r="K27" s="1" t="s">
        <x:v>20</x:v>
      </x:c>
      <x:c r="L27" s="1" t="s">
        <x:v>20</x:v>
      </x:c>
      <x:c r="M27" s="1" t="s">
        <x:v>20</x:v>
      </x:c>
      <x:c r="N27" s="1" t="s">
        <x:v>20</x:v>
      </x:c>
      <x:c r="O27" s="1" t="s">
        <x:v>20</x:v>
      </x:c>
      <x:c r="P27" s="1" t="s">
        <x:v>20</x:v>
      </x:c>
      <x:c r="Q27" s="1" t="s">
        <x:v>20</x:v>
      </x:c>
    </x:row>
    <x:row r="28" spans="1:17">
      <x:c r="A28" s="1" t="s">
        <x:v>20</x:v>
      </x:c>
      <x:c r="B28" s="2" t="s">
        <x:v>20</x:v>
      </x:c>
      <x:c r="C28" s="2" t="s">
        <x:v>20</x:v>
      </x:c>
      <x:c r="D28" s="1" t="s">
        <x:v>20</x:v>
      </x:c>
      <x:c r="E28" s="1" t="s">
        <x:v>20</x:v>
      </x:c>
      <x:c r="F28" s="1" t="s">
        <x:v>50</x:v>
      </x:c>
      <x:c r="G28" s="1" t="s">
        <x:v>20</x:v>
      </x:c>
      <x:c r="H28" s="1" t="s">
        <x:v>29</x:v>
      </x:c>
      <x:c r="I28" s="1" t="s">
        <x:v>20</x:v>
      </x:c>
      <x:c r="J28" s="1" t="s">
        <x:v>20</x:v>
      </x:c>
      <x:c r="K28" s="1" t="s">
        <x:v>20</x:v>
      </x:c>
      <x:c r="L28" s="1" t="s">
        <x:v>20</x:v>
      </x:c>
      <x:c r="M28" s="1" t="s">
        <x:v>20</x:v>
      </x:c>
      <x:c r="N28" s="1" t="s">
        <x:v>20</x:v>
      </x:c>
      <x:c r="O28" s="1" t="s">
        <x:v>20</x:v>
      </x:c>
      <x:c r="P28" s="1" t="s">
        <x:v>20</x:v>
      </x:c>
      <x:c r="Q28" s="1" t="s">
        <x:v>20</x:v>
      </x:c>
    </x:row>
    <x:row r="29" spans="1:17">
      <x:c r="A29" s="1" t="s">
        <x:v>20</x:v>
      </x:c>
      <x:c r="B29" s="2" t="s">
        <x:v>20</x:v>
      </x:c>
      <x:c r="C29" s="2" t="s">
        <x:v>20</x:v>
      </x:c>
      <x:c r="D29" s="1" t="s">
        <x:v>20</x:v>
      </x:c>
      <x:c r="E29" s="1" t="s">
        <x:v>20</x:v>
      </x:c>
      <x:c r="F29" s="1" t="s">
        <x:v>30</x:v>
      </x:c>
      <x:c r="G29" s="1" t="s">
        <x:v>20</x:v>
      </x:c>
      <x:c r="H29" s="1" t="s">
        <x:v>35</x:v>
      </x:c>
      <x:c r="I29" s="1" t="s">
        <x:v>20</x:v>
      </x:c>
      <x:c r="J29" s="1" t="s">
        <x:v>20</x:v>
      </x:c>
      <x:c r="K29" s="1" t="s">
        <x:v>20</x:v>
      </x:c>
      <x:c r="L29" s="1" t="s">
        <x:v>20</x:v>
      </x:c>
      <x:c r="M29" s="1" t="s">
        <x:v>20</x:v>
      </x:c>
      <x:c r="N29" s="1" t="s">
        <x:v>20</x:v>
      </x:c>
      <x:c r="O29" s="1" t="s">
        <x:v>20</x:v>
      </x:c>
      <x:c r="P29" s="1" t="s">
        <x:v>20</x:v>
      </x:c>
      <x:c r="Q29" s="1" t="s">
        <x:v>20</x:v>
      </x:c>
    </x:row>
    <x:row r="30" spans="1:17">
      <x:c r="A30" s="1" t="s">
        <x:v>51</x:v>
      </x:c>
      <x:c r="B30" s="2" t="s">
        <x:v>18</x:v>
      </x:c>
      <x:c r="C30" s="2">
        <x:f>HYPERLINK("https://team-w7jm.testit.software/projects/1/tests/124", "Аутентификация получение токена (в поле username adm-in через дефис)")</x:f>
      </x:c>
      <x:c r="D30" s="1" t="s">
        <x:v>19</x:v>
      </x:c>
      <x:c r="E30" s="1" t="s">
        <x:v>20</x:v>
      </x:c>
      <x:c r="F30" s="1" t="s">
        <x:v>20</x:v>
      </x:c>
      <x:c r="G30" s="1" t="s">
        <x:v>20</x:v>
      </x:c>
      <x:c r="H30" s="1" t="s">
        <x:v>20</x:v>
      </x:c>
      <x:c r="I30" s="1" t="s">
        <x:v>20</x:v>
      </x:c>
      <x:c r="J30" s="1" t="s">
        <x:v>20</x:v>
      </x:c>
      <x:c r="K30" s="1" t="s">
        <x:v>20</x:v>
      </x:c>
      <x:c r="L30" s="1" t="s">
        <x:v>21</x:v>
      </x:c>
      <x:c r="M30" s="1" t="s">
        <x:v>22</x:v>
      </x:c>
      <x:c r="N30" s="1" t="s">
        <x:v>52</x:v>
      </x:c>
      <x:c r="O30" s="1" t="s">
        <x:v>24</x:v>
      </x:c>
      <x:c r="P30" s="1" t="s">
        <x:v>25</x:v>
      </x:c>
      <x:c r="Q30" s="1" t="s">
        <x:v>20</x:v>
      </x:c>
    </x:row>
    <x:row r="31" spans="1:17">
      <x:c r="A31" s="1" t="s">
        <x:v>20</x:v>
      </x:c>
      <x:c r="B31" s="2" t="s">
        <x:v>20</x:v>
      </x:c>
      <x:c r="C31" s="2" t="s">
        <x:v>20</x:v>
      </x:c>
      <x:c r="D31" s="1" t="s">
        <x:v>20</x:v>
      </x:c>
      <x:c r="E31" s="1" t="s">
        <x:v>26</x:v>
      </x:c>
      <x:c r="F31" s="1" t="s">
        <x:v>20</x:v>
      </x:c>
      <x:c r="G31" s="1" t="s">
        <x:v>20</x:v>
      </x:c>
      <x:c r="H31" s="1" t="s">
        <x:v>27</x:v>
      </x:c>
      <x:c r="I31" s="1" t="s">
        <x:v>20</x:v>
      </x:c>
      <x:c r="J31" s="1" t="s">
        <x:v>20</x:v>
      </x:c>
      <x:c r="K31" s="1" t="s">
        <x:v>20</x:v>
      </x:c>
      <x:c r="L31" s="1" t="s">
        <x:v>20</x:v>
      </x:c>
      <x:c r="M31" s="1" t="s">
        <x:v>20</x:v>
      </x:c>
      <x:c r="N31" s="1" t="s">
        <x:v>20</x:v>
      </x:c>
      <x:c r="O31" s="1" t="s">
        <x:v>20</x:v>
      </x:c>
      <x:c r="P31" s="1" t="s">
        <x:v>20</x:v>
      </x:c>
      <x:c r="Q31" s="1" t="s">
        <x:v>20</x:v>
      </x:c>
    </x:row>
    <x:row r="32" spans="1:17">
      <x:c r="A32" s="1" t="s">
        <x:v>20</x:v>
      </x:c>
      <x:c r="B32" s="2" t="s">
        <x:v>20</x:v>
      </x:c>
      <x:c r="C32" s="2" t="s">
        <x:v>20</x:v>
      </x:c>
      <x:c r="D32" s="1" t="s">
        <x:v>20</x:v>
      </x:c>
      <x:c r="E32" s="1" t="s">
        <x:v>20</x:v>
      </x:c>
      <x:c r="F32" s="1" t="s">
        <x:v>53</x:v>
      </x:c>
      <x:c r="G32" s="1" t="s">
        <x:v>20</x:v>
      </x:c>
      <x:c r="H32" s="1" t="s">
        <x:v>29</x:v>
      </x:c>
      <x:c r="I32" s="1" t="s">
        <x:v>20</x:v>
      </x:c>
      <x:c r="J32" s="1" t="s">
        <x:v>20</x:v>
      </x:c>
      <x:c r="K32" s="1" t="s">
        <x:v>20</x:v>
      </x:c>
      <x:c r="L32" s="1" t="s">
        <x:v>20</x:v>
      </x:c>
      <x:c r="M32" s="1" t="s">
        <x:v>20</x:v>
      </x:c>
      <x:c r="N32" s="1" t="s">
        <x:v>20</x:v>
      </x:c>
      <x:c r="O32" s="1" t="s">
        <x:v>20</x:v>
      </x:c>
      <x:c r="P32" s="1" t="s">
        <x:v>20</x:v>
      </x:c>
      <x:c r="Q32" s="1" t="s">
        <x:v>20</x:v>
      </x:c>
    </x:row>
    <x:row r="33" spans="1:17">
      <x:c r="A33" s="1" t="s">
        <x:v>20</x:v>
      </x:c>
      <x:c r="B33" s="2" t="s">
        <x:v>20</x:v>
      </x:c>
      <x:c r="C33" s="2" t="s">
        <x:v>20</x:v>
      </x:c>
      <x:c r="D33" s="1" t="s">
        <x:v>20</x:v>
      </x:c>
      <x:c r="E33" s="1" t="s">
        <x:v>20</x:v>
      </x:c>
      <x:c r="F33" s="1" t="s">
        <x:v>30</x:v>
      </x:c>
      <x:c r="G33" s="1" t="s">
        <x:v>20</x:v>
      </x:c>
      <x:c r="H33" s="1" t="s">
        <x:v>35</x:v>
      </x:c>
      <x:c r="I33" s="1" t="s">
        <x:v>20</x:v>
      </x:c>
      <x:c r="J33" s="1" t="s">
        <x:v>20</x:v>
      </x:c>
      <x:c r="K33" s="1" t="s">
        <x:v>20</x:v>
      </x:c>
      <x:c r="L33" s="1" t="s">
        <x:v>20</x:v>
      </x:c>
      <x:c r="M33" s="1" t="s">
        <x:v>20</x:v>
      </x:c>
      <x:c r="N33" s="1" t="s">
        <x:v>20</x:v>
      </x:c>
      <x:c r="O33" s="1" t="s">
        <x:v>20</x:v>
      </x:c>
      <x:c r="P33" s="1" t="s">
        <x:v>20</x:v>
      </x:c>
      <x:c r="Q33" s="1" t="s">
        <x:v>20</x:v>
      </x:c>
    </x:row>
    <x:row r="34" spans="1:17">
      <x:c r="A34" s="1" t="s">
        <x:v>54</x:v>
      </x:c>
      <x:c r="B34" s="2" t="s">
        <x:v>18</x:v>
      </x:c>
      <x:c r="C34" s="2">
        <x:f>HYPERLINK("https://team-w7jm.testit.software/projects/1/tests/125", "Аутентификация получение токена GET запросом (используя корректные данные)")</x:f>
      </x:c>
      <x:c r="D34" s="1" t="s">
        <x:v>19</x:v>
      </x:c>
      <x:c r="E34" s="1" t="s">
        <x:v>20</x:v>
      </x:c>
      <x:c r="F34" s="1" t="s">
        <x:v>20</x:v>
      </x:c>
      <x:c r="G34" s="1" t="s">
        <x:v>20</x:v>
      </x:c>
      <x:c r="H34" s="1" t="s">
        <x:v>20</x:v>
      </x:c>
      <x:c r="I34" s="1" t="s">
        <x:v>20</x:v>
      </x:c>
      <x:c r="J34" s="1" t="s">
        <x:v>20</x:v>
      </x:c>
      <x:c r="K34" s="1" t="s">
        <x:v>20</x:v>
      </x:c>
      <x:c r="L34" s="1" t="s">
        <x:v>21</x:v>
      </x:c>
      <x:c r="M34" s="1" t="s">
        <x:v>22</x:v>
      </x:c>
      <x:c r="N34" s="1" t="s">
        <x:v>55</x:v>
      </x:c>
      <x:c r="O34" s="1" t="s">
        <x:v>24</x:v>
      </x:c>
      <x:c r="P34" s="1" t="s">
        <x:v>25</x:v>
      </x:c>
      <x:c r="Q34" s="1" t="s">
        <x:v>20</x:v>
      </x:c>
    </x:row>
    <x:row r="35" spans="1:17">
      <x:c r="A35" s="1" t="s">
        <x:v>20</x:v>
      </x:c>
      <x:c r="B35" s="2" t="s">
        <x:v>20</x:v>
      </x:c>
      <x:c r="C35" s="2" t="s">
        <x:v>20</x:v>
      </x:c>
      <x:c r="D35" s="1" t="s">
        <x:v>20</x:v>
      </x:c>
      <x:c r="E35" s="1" t="s">
        <x:v>26</x:v>
      </x:c>
      <x:c r="F35" s="1" t="s">
        <x:v>20</x:v>
      </x:c>
      <x:c r="G35" s="1" t="s">
        <x:v>20</x:v>
      </x:c>
      <x:c r="H35" s="1" t="s">
        <x:v>27</x:v>
      </x:c>
      <x:c r="I35" s="1" t="s">
        <x:v>20</x:v>
      </x:c>
      <x:c r="J35" s="1" t="s">
        <x:v>20</x:v>
      </x:c>
      <x:c r="K35" s="1" t="s">
        <x:v>20</x:v>
      </x:c>
      <x:c r="L35" s="1" t="s">
        <x:v>20</x:v>
      </x:c>
      <x:c r="M35" s="1" t="s">
        <x:v>20</x:v>
      </x:c>
      <x:c r="N35" s="1" t="s">
        <x:v>20</x:v>
      </x:c>
      <x:c r="O35" s="1" t="s">
        <x:v>20</x:v>
      </x:c>
      <x:c r="P35" s="1" t="s">
        <x:v>20</x:v>
      </x:c>
      <x:c r="Q35" s="1" t="s">
        <x:v>20</x:v>
      </x:c>
    </x:row>
    <x:row r="36" spans="1:17">
      <x:c r="A36" s="1" t="s">
        <x:v>20</x:v>
      </x:c>
      <x:c r="B36" s="2" t="s">
        <x:v>20</x:v>
      </x:c>
      <x:c r="C36" s="2" t="s">
        <x:v>20</x:v>
      </x:c>
      <x:c r="D36" s="1" t="s">
        <x:v>20</x:v>
      </x:c>
      <x:c r="E36" s="1" t="s">
        <x:v>20</x:v>
      </x:c>
      <x:c r="F36" s="1" t="s">
        <x:v>56</x:v>
      </x:c>
      <x:c r="G36" s="1" t="s">
        <x:v>20</x:v>
      </x:c>
      <x:c r="H36" s="1" t="s">
        <x:v>29</x:v>
      </x:c>
      <x:c r="I36" s="1" t="s">
        <x:v>20</x:v>
      </x:c>
      <x:c r="J36" s="1" t="s">
        <x:v>20</x:v>
      </x:c>
      <x:c r="K36" s="1" t="s">
        <x:v>20</x:v>
      </x:c>
      <x:c r="L36" s="1" t="s">
        <x:v>20</x:v>
      </x:c>
      <x:c r="M36" s="1" t="s">
        <x:v>20</x:v>
      </x:c>
      <x:c r="N36" s="1" t="s">
        <x:v>20</x:v>
      </x:c>
      <x:c r="O36" s="1" t="s">
        <x:v>20</x:v>
      </x:c>
      <x:c r="P36" s="1" t="s">
        <x:v>20</x:v>
      </x:c>
      <x:c r="Q36" s="1" t="s">
        <x:v>20</x:v>
      </x:c>
    </x:row>
    <x:row r="37" spans="1:17">
      <x:c r="A37" s="1" t="s">
        <x:v>20</x:v>
      </x:c>
      <x:c r="B37" s="2" t="s">
        <x:v>20</x:v>
      </x:c>
      <x:c r="C37" s="2" t="s">
        <x:v>20</x:v>
      </x:c>
      <x:c r="D37" s="1" t="s">
        <x:v>20</x:v>
      </x:c>
      <x:c r="E37" s="1" t="s">
        <x:v>20</x:v>
      </x:c>
      <x:c r="F37" s="1" t="s">
        <x:v>30</x:v>
      </x:c>
      <x:c r="G37" s="1" t="s">
        <x:v>20</x:v>
      </x:c>
      <x:c r="H37" s="1" t="s">
        <x:v>57</x:v>
      </x:c>
      <x:c r="I37" s="1" t="s">
        <x:v>20</x:v>
      </x:c>
      <x:c r="J37" s="1" t="s">
        <x:v>20</x:v>
      </x:c>
      <x:c r="K37" s="1" t="s">
        <x:v>20</x:v>
      </x:c>
      <x:c r="L37" s="1" t="s">
        <x:v>20</x:v>
      </x:c>
      <x:c r="M37" s="1" t="s">
        <x:v>20</x:v>
      </x:c>
      <x:c r="N37" s="1" t="s">
        <x:v>20</x:v>
      </x:c>
      <x:c r="O37" s="1" t="s">
        <x:v>20</x:v>
      </x:c>
      <x:c r="P37" s="1" t="s">
        <x:v>20</x:v>
      </x:c>
      <x:c r="Q37" s="1" t="s">
        <x:v>20</x:v>
      </x:c>
    </x:row>
    <x:row r="38" spans="1:17">
      <x:c r="A38" s="1" t="s">
        <x:v>58</x:v>
      </x:c>
      <x:c r="B38" s="2" t="s">
        <x:v>18</x:v>
      </x:c>
      <x:c r="C38" s="2">
        <x:f>HYPERLINK("https://team-w7jm.testit.software/projects/1/tests/126", "Аутентификация получение токена (поле password оставить пустым)")</x:f>
      </x:c>
      <x:c r="D38" s="1" t="s">
        <x:v>19</x:v>
      </x:c>
      <x:c r="E38" s="1" t="s">
        <x:v>20</x:v>
      </x:c>
      <x:c r="F38" s="1" t="s">
        <x:v>20</x:v>
      </x:c>
      <x:c r="G38" s="1" t="s">
        <x:v>20</x:v>
      </x:c>
      <x:c r="H38" s="1" t="s">
        <x:v>20</x:v>
      </x:c>
      <x:c r="I38" s="1" t="s">
        <x:v>20</x:v>
      </x:c>
      <x:c r="J38" s="1" t="s">
        <x:v>20</x:v>
      </x:c>
      <x:c r="K38" s="1" t="s">
        <x:v>20</x:v>
      </x:c>
      <x:c r="L38" s="1" t="s">
        <x:v>21</x:v>
      </x:c>
      <x:c r="M38" s="1" t="s">
        <x:v>22</x:v>
      </x:c>
      <x:c r="N38" s="1" t="s">
        <x:v>59</x:v>
      </x:c>
      <x:c r="O38" s="1" t="s">
        <x:v>24</x:v>
      </x:c>
      <x:c r="P38" s="1" t="s">
        <x:v>25</x:v>
      </x:c>
      <x:c r="Q38" s="1" t="s">
        <x:v>20</x:v>
      </x:c>
    </x:row>
    <x:row r="39" spans="1:17">
      <x:c r="A39" s="1" t="s">
        <x:v>20</x:v>
      </x:c>
      <x:c r="B39" s="2" t="s">
        <x:v>20</x:v>
      </x:c>
      <x:c r="C39" s="2" t="s">
        <x:v>20</x:v>
      </x:c>
      <x:c r="D39" s="1" t="s">
        <x:v>20</x:v>
      </x:c>
      <x:c r="E39" s="1" t="s">
        <x:v>26</x:v>
      </x:c>
      <x:c r="F39" s="1" t="s">
        <x:v>20</x:v>
      </x:c>
      <x:c r="G39" s="1" t="s">
        <x:v>20</x:v>
      </x:c>
      <x:c r="H39" s="1" t="s">
        <x:v>27</x:v>
      </x:c>
      <x:c r="I39" s="1" t="s">
        <x:v>20</x:v>
      </x:c>
      <x:c r="J39" s="1" t="s">
        <x:v>20</x:v>
      </x:c>
      <x:c r="K39" s="1" t="s">
        <x:v>20</x:v>
      </x:c>
      <x:c r="L39" s="1" t="s">
        <x:v>20</x:v>
      </x:c>
      <x:c r="M39" s="1" t="s">
        <x:v>20</x:v>
      </x:c>
      <x:c r="N39" s="1" t="s">
        <x:v>20</x:v>
      </x:c>
      <x:c r="O39" s="1" t="s">
        <x:v>20</x:v>
      </x:c>
      <x:c r="P39" s="1" t="s">
        <x:v>20</x:v>
      </x:c>
      <x:c r="Q39" s="1" t="s">
        <x:v>20</x:v>
      </x:c>
    </x:row>
    <x:row r="40" spans="1:17">
      <x:c r="A40" s="1" t="s">
        <x:v>20</x:v>
      </x:c>
      <x:c r="B40" s="2" t="s">
        <x:v>20</x:v>
      </x:c>
      <x:c r="C40" s="2" t="s">
        <x:v>20</x:v>
      </x:c>
      <x:c r="D40" s="1" t="s">
        <x:v>20</x:v>
      </x:c>
      <x:c r="E40" s="1" t="s">
        <x:v>20</x:v>
      </x:c>
      <x:c r="F40" s="1" t="s">
        <x:v>60</x:v>
      </x:c>
      <x:c r="G40" s="1" t="s">
        <x:v>20</x:v>
      </x:c>
      <x:c r="H40" s="1" t="s">
        <x:v>29</x:v>
      </x:c>
      <x:c r="I40" s="1" t="s">
        <x:v>20</x:v>
      </x:c>
      <x:c r="J40" s="1" t="s">
        <x:v>20</x:v>
      </x:c>
      <x:c r="K40" s="1" t="s">
        <x:v>20</x:v>
      </x:c>
      <x:c r="L40" s="1" t="s">
        <x:v>20</x:v>
      </x:c>
      <x:c r="M40" s="1" t="s">
        <x:v>20</x:v>
      </x:c>
      <x:c r="N40" s="1" t="s">
        <x:v>20</x:v>
      </x:c>
      <x:c r="O40" s="1" t="s">
        <x:v>20</x:v>
      </x:c>
      <x:c r="P40" s="1" t="s">
        <x:v>20</x:v>
      </x:c>
      <x:c r="Q40" s="1" t="s">
        <x:v>20</x:v>
      </x:c>
    </x:row>
    <x:row r="41" spans="1:17">
      <x:c r="A41" s="1" t="s">
        <x:v>20</x:v>
      </x:c>
      <x:c r="B41" s="2" t="s">
        <x:v>20</x:v>
      </x:c>
      <x:c r="C41" s="2" t="s">
        <x:v>20</x:v>
      </x:c>
      <x:c r="D41" s="1" t="s">
        <x:v>20</x:v>
      </x:c>
      <x:c r="E41" s="1" t="s">
        <x:v>20</x:v>
      </x:c>
      <x:c r="F41" s="1" t="s">
        <x:v>30</x:v>
      </x:c>
      <x:c r="G41" s="1" t="s">
        <x:v>20</x:v>
      </x:c>
      <x:c r="H41" s="1" t="s">
        <x:v>35</x:v>
      </x:c>
      <x:c r="I41" s="1" t="s">
        <x:v>20</x:v>
      </x:c>
      <x:c r="J41" s="1" t="s">
        <x:v>20</x:v>
      </x:c>
      <x:c r="K41" s="1" t="s">
        <x:v>20</x:v>
      </x:c>
      <x:c r="L41" s="1" t="s">
        <x:v>20</x:v>
      </x:c>
      <x:c r="M41" s="1" t="s">
        <x:v>20</x:v>
      </x:c>
      <x:c r="N41" s="1" t="s">
        <x:v>20</x:v>
      </x:c>
      <x:c r="O41" s="1" t="s">
        <x:v>20</x:v>
      </x:c>
      <x:c r="P41" s="1" t="s">
        <x:v>20</x:v>
      </x:c>
      <x:c r="Q41" s="1" t="s">
        <x:v>20</x:v>
      </x:c>
    </x:row>
    <x:row r="42" spans="1:17">
      <x:c r="A42" s="1" t="s">
        <x:v>61</x:v>
      </x:c>
      <x:c r="B42" s="2" t="s">
        <x:v>18</x:v>
      </x:c>
      <x:c r="C42" s="2">
        <x:f>HYPERLINK("https://team-w7jm.testit.software/projects/1/tests/127", "Аутентификация получение токена (в поле password вводим пропуская одну букву passwrd123)")</x:f>
      </x:c>
      <x:c r="D42" s="1" t="s">
        <x:v>19</x:v>
      </x:c>
      <x:c r="E42" s="1" t="s">
        <x:v>20</x:v>
      </x:c>
      <x:c r="F42" s="1" t="s">
        <x:v>20</x:v>
      </x:c>
      <x:c r="G42" s="1" t="s">
        <x:v>20</x:v>
      </x:c>
      <x:c r="H42" s="1" t="s">
        <x:v>20</x:v>
      </x:c>
      <x:c r="I42" s="1" t="s">
        <x:v>20</x:v>
      </x:c>
      <x:c r="J42" s="1" t="s">
        <x:v>20</x:v>
      </x:c>
      <x:c r="K42" s="1" t="s">
        <x:v>20</x:v>
      </x:c>
      <x:c r="L42" s="1" t="s">
        <x:v>21</x:v>
      </x:c>
      <x:c r="M42" s="1" t="s">
        <x:v>22</x:v>
      </x:c>
      <x:c r="N42" s="1" t="s">
        <x:v>59</x:v>
      </x:c>
      <x:c r="O42" s="1" t="s">
        <x:v>24</x:v>
      </x:c>
      <x:c r="P42" s="1" t="s">
        <x:v>25</x:v>
      </x:c>
      <x:c r="Q42" s="1" t="s">
        <x:v>20</x:v>
      </x:c>
    </x:row>
    <x:row r="43" spans="1:17">
      <x:c r="A43" s="1" t="s">
        <x:v>20</x:v>
      </x:c>
      <x:c r="B43" s="2" t="s">
        <x:v>20</x:v>
      </x:c>
      <x:c r="C43" s="2" t="s">
        <x:v>20</x:v>
      </x:c>
      <x:c r="D43" s="1" t="s">
        <x:v>20</x:v>
      </x:c>
      <x:c r="E43" s="1" t="s">
        <x:v>26</x:v>
      </x:c>
      <x:c r="F43" s="1" t="s">
        <x:v>20</x:v>
      </x:c>
      <x:c r="G43" s="1" t="s">
        <x:v>20</x:v>
      </x:c>
      <x:c r="H43" s="1" t="s">
        <x:v>27</x:v>
      </x:c>
      <x:c r="I43" s="1" t="s">
        <x:v>20</x:v>
      </x:c>
      <x:c r="J43" s="1" t="s">
        <x:v>20</x:v>
      </x:c>
      <x:c r="K43" s="1" t="s">
        <x:v>20</x:v>
      </x:c>
      <x:c r="L43" s="1" t="s">
        <x:v>20</x:v>
      </x:c>
      <x:c r="M43" s="1" t="s">
        <x:v>20</x:v>
      </x:c>
      <x:c r="N43" s="1" t="s">
        <x:v>20</x:v>
      </x:c>
      <x:c r="O43" s="1" t="s">
        <x:v>20</x:v>
      </x:c>
      <x:c r="P43" s="1" t="s">
        <x:v>20</x:v>
      </x:c>
      <x:c r="Q43" s="1" t="s">
        <x:v>20</x:v>
      </x:c>
    </x:row>
    <x:row r="44" spans="1:17">
      <x:c r="A44" s="1" t="s">
        <x:v>20</x:v>
      </x:c>
      <x:c r="B44" s="2" t="s">
        <x:v>20</x:v>
      </x:c>
      <x:c r="C44" s="2" t="s">
        <x:v>20</x:v>
      </x:c>
      <x:c r="D44" s="1" t="s">
        <x:v>20</x:v>
      </x:c>
      <x:c r="E44" s="1" t="s">
        <x:v>20</x:v>
      </x:c>
      <x:c r="F44" s="1" t="s">
        <x:v>62</x:v>
      </x:c>
      <x:c r="G44" s="1" t="s">
        <x:v>20</x:v>
      </x:c>
      <x:c r="H44" s="1" t="s">
        <x:v>29</x:v>
      </x:c>
      <x:c r="I44" s="1" t="s">
        <x:v>20</x:v>
      </x:c>
      <x:c r="J44" s="1" t="s">
        <x:v>20</x:v>
      </x:c>
      <x:c r="K44" s="1" t="s">
        <x:v>20</x:v>
      </x:c>
      <x:c r="L44" s="1" t="s">
        <x:v>20</x:v>
      </x:c>
      <x:c r="M44" s="1" t="s">
        <x:v>20</x:v>
      </x:c>
      <x:c r="N44" s="1" t="s">
        <x:v>20</x:v>
      </x:c>
      <x:c r="O44" s="1" t="s">
        <x:v>20</x:v>
      </x:c>
      <x:c r="P44" s="1" t="s">
        <x:v>20</x:v>
      </x:c>
      <x:c r="Q44" s="1" t="s">
        <x:v>20</x:v>
      </x:c>
    </x:row>
    <x:row r="45" spans="1:17">
      <x:c r="A45" s="1" t="s">
        <x:v>20</x:v>
      </x:c>
      <x:c r="B45" s="2" t="s">
        <x:v>20</x:v>
      </x:c>
      <x:c r="C45" s="2" t="s">
        <x:v>20</x:v>
      </x:c>
      <x:c r="D45" s="1" t="s">
        <x:v>20</x:v>
      </x:c>
      <x:c r="E45" s="1" t="s">
        <x:v>20</x:v>
      </x:c>
      <x:c r="F45" s="1" t="s">
        <x:v>30</x:v>
      </x:c>
      <x:c r="G45" s="1" t="s">
        <x:v>20</x:v>
      </x:c>
      <x:c r="H45" s="1" t="s">
        <x:v>35</x:v>
      </x:c>
      <x:c r="I45" s="1" t="s">
        <x:v>20</x:v>
      </x:c>
      <x:c r="J45" s="1" t="s">
        <x:v>20</x:v>
      </x:c>
      <x:c r="K45" s="1" t="s">
        <x:v>20</x:v>
      </x:c>
      <x:c r="L45" s="1" t="s">
        <x:v>20</x:v>
      </x:c>
      <x:c r="M45" s="1" t="s">
        <x:v>20</x:v>
      </x:c>
      <x:c r="N45" s="1" t="s">
        <x:v>20</x:v>
      </x:c>
      <x:c r="O45" s="1" t="s">
        <x:v>20</x:v>
      </x:c>
      <x:c r="P45" s="1" t="s">
        <x:v>20</x:v>
      </x:c>
      <x:c r="Q45" s="1" t="s">
        <x:v>20</x:v>
      </x:c>
    </x:row>
    <x:row r="46" spans="1:17">
      <x:c r="A46" s="1" t="s">
        <x:v>63</x:v>
      </x:c>
      <x:c r="B46" s="2" t="s">
        <x:v>18</x:v>
      </x:c>
      <x:c r="C46" s="2">
        <x:f>HYPERLINK("https://team-w7jm.testit.software/projects/1/tests/128", "Аутентификация получение токена (в поле password вводим password1234)")</x:f>
      </x:c>
      <x:c r="D46" s="1" t="s">
        <x:v>19</x:v>
      </x:c>
      <x:c r="E46" s="1" t="s">
        <x:v>20</x:v>
      </x:c>
      <x:c r="F46" s="1" t="s">
        <x:v>20</x:v>
      </x:c>
      <x:c r="G46" s="1" t="s">
        <x:v>20</x:v>
      </x:c>
      <x:c r="H46" s="1" t="s">
        <x:v>20</x:v>
      </x:c>
      <x:c r="I46" s="1" t="s">
        <x:v>20</x:v>
      </x:c>
      <x:c r="J46" s="1" t="s">
        <x:v>20</x:v>
      </x:c>
      <x:c r="K46" s="1" t="s">
        <x:v>20</x:v>
      </x:c>
      <x:c r="L46" s="1" t="s">
        <x:v>21</x:v>
      </x:c>
      <x:c r="M46" s="1" t="s">
        <x:v>22</x:v>
      </x:c>
      <x:c r="N46" s="1" t="s">
        <x:v>59</x:v>
      </x:c>
      <x:c r="O46" s="1" t="s">
        <x:v>24</x:v>
      </x:c>
      <x:c r="P46" s="1" t="s">
        <x:v>25</x:v>
      </x:c>
      <x:c r="Q46" s="1" t="s">
        <x:v>20</x:v>
      </x:c>
    </x:row>
    <x:row r="47" spans="1:17">
      <x:c r="A47" s="1" t="s">
        <x:v>20</x:v>
      </x:c>
      <x:c r="B47" s="2" t="s">
        <x:v>20</x:v>
      </x:c>
      <x:c r="C47" s="2" t="s">
        <x:v>20</x:v>
      </x:c>
      <x:c r="D47" s="1" t="s">
        <x:v>20</x:v>
      </x:c>
      <x:c r="E47" s="1" t="s">
        <x:v>26</x:v>
      </x:c>
      <x:c r="F47" s="1" t="s">
        <x:v>20</x:v>
      </x:c>
      <x:c r="G47" s="1" t="s">
        <x:v>20</x:v>
      </x:c>
      <x:c r="H47" s="1" t="s">
        <x:v>27</x:v>
      </x:c>
      <x:c r="I47" s="1" t="s">
        <x:v>20</x:v>
      </x:c>
      <x:c r="J47" s="1" t="s">
        <x:v>20</x:v>
      </x:c>
      <x:c r="K47" s="1" t="s">
        <x:v>20</x:v>
      </x:c>
      <x:c r="L47" s="1" t="s">
        <x:v>20</x:v>
      </x:c>
      <x:c r="M47" s="1" t="s">
        <x:v>20</x:v>
      </x:c>
      <x:c r="N47" s="1" t="s">
        <x:v>20</x:v>
      </x:c>
      <x:c r="O47" s="1" t="s">
        <x:v>20</x:v>
      </x:c>
      <x:c r="P47" s="1" t="s">
        <x:v>20</x:v>
      </x:c>
      <x:c r="Q47" s="1" t="s">
        <x:v>20</x:v>
      </x:c>
    </x:row>
    <x:row r="48" spans="1:17">
      <x:c r="A48" s="1" t="s">
        <x:v>20</x:v>
      </x:c>
      <x:c r="B48" s="2" t="s">
        <x:v>20</x:v>
      </x:c>
      <x:c r="C48" s="2" t="s">
        <x:v>20</x:v>
      </x:c>
      <x:c r="D48" s="1" t="s">
        <x:v>20</x:v>
      </x:c>
      <x:c r="E48" s="1" t="s">
        <x:v>20</x:v>
      </x:c>
      <x:c r="F48" s="1" t="s">
        <x:v>64</x:v>
      </x:c>
      <x:c r="G48" s="1" t="s">
        <x:v>20</x:v>
      </x:c>
      <x:c r="H48" s="1" t="s">
        <x:v>29</x:v>
      </x:c>
      <x:c r="I48" s="1" t="s">
        <x:v>20</x:v>
      </x:c>
      <x:c r="J48" s="1" t="s">
        <x:v>20</x:v>
      </x:c>
      <x:c r="K48" s="1" t="s">
        <x:v>20</x:v>
      </x:c>
      <x:c r="L48" s="1" t="s">
        <x:v>20</x:v>
      </x:c>
      <x:c r="M48" s="1" t="s">
        <x:v>20</x:v>
      </x:c>
      <x:c r="N48" s="1" t="s">
        <x:v>20</x:v>
      </x:c>
      <x:c r="O48" s="1" t="s">
        <x:v>20</x:v>
      </x:c>
      <x:c r="P48" s="1" t="s">
        <x:v>20</x:v>
      </x:c>
      <x:c r="Q48" s="1" t="s">
        <x:v>20</x:v>
      </x:c>
    </x:row>
    <x:row r="49" spans="1:17">
      <x:c r="A49" s="1" t="s">
        <x:v>20</x:v>
      </x:c>
      <x:c r="B49" s="2" t="s">
        <x:v>20</x:v>
      </x:c>
      <x:c r="C49" s="2" t="s">
        <x:v>20</x:v>
      </x:c>
      <x:c r="D49" s="1" t="s">
        <x:v>20</x:v>
      </x:c>
      <x:c r="E49" s="1" t="s">
        <x:v>20</x:v>
      </x:c>
      <x:c r="F49" s="1" t="s">
        <x:v>30</x:v>
      </x:c>
      <x:c r="G49" s="1" t="s">
        <x:v>20</x:v>
      </x:c>
      <x:c r="H49" s="1" t="s">
        <x:v>35</x:v>
      </x:c>
      <x:c r="I49" s="1" t="s">
        <x:v>20</x:v>
      </x:c>
      <x:c r="J49" s="1" t="s">
        <x:v>20</x:v>
      </x:c>
      <x:c r="K49" s="1" t="s">
        <x:v>20</x:v>
      </x:c>
      <x:c r="L49" s="1" t="s">
        <x:v>20</x:v>
      </x:c>
      <x:c r="M49" s="1" t="s">
        <x:v>20</x:v>
      </x:c>
      <x:c r="N49" s="1" t="s">
        <x:v>20</x:v>
      </x:c>
      <x:c r="O49" s="1" t="s">
        <x:v>20</x:v>
      </x:c>
      <x:c r="P49" s="1" t="s">
        <x:v>20</x:v>
      </x:c>
      <x:c r="Q49" s="1" t="s">
        <x:v>20</x:v>
      </x:c>
    </x:row>
    <x:row r="50" spans="1:17">
      <x:c r="A50" s="1" t="s">
        <x:v>65</x:v>
      </x:c>
      <x:c r="B50" s="2" t="s">
        <x:v>18</x:v>
      </x:c>
      <x:c r="C50" s="2">
        <x:f>HYPERLINK("https://team-w7jm.testit.software/projects/1/tests/129", "Аутентификация получение токена (в поле password вводим в верхнем регистре)")</x:f>
      </x:c>
      <x:c r="D50" s="1" t="s">
        <x:v>19</x:v>
      </x:c>
      <x:c r="E50" s="1" t="s">
        <x:v>20</x:v>
      </x:c>
      <x:c r="F50" s="1" t="s">
        <x:v>20</x:v>
      </x:c>
      <x:c r="G50" s="1" t="s">
        <x:v>20</x:v>
      </x:c>
      <x:c r="H50" s="1" t="s">
        <x:v>20</x:v>
      </x:c>
      <x:c r="I50" s="1" t="s">
        <x:v>20</x:v>
      </x:c>
      <x:c r="J50" s="1" t="s">
        <x:v>20</x:v>
      </x:c>
      <x:c r="K50" s="1" t="s">
        <x:v>20</x:v>
      </x:c>
      <x:c r="L50" s="1" t="s">
        <x:v>21</x:v>
      </x:c>
      <x:c r="M50" s="1" t="s">
        <x:v>22</x:v>
      </x:c>
      <x:c r="N50" s="1" t="s">
        <x:v>59</x:v>
      </x:c>
      <x:c r="O50" s="1" t="s">
        <x:v>24</x:v>
      </x:c>
      <x:c r="P50" s="1" t="s">
        <x:v>25</x:v>
      </x:c>
      <x:c r="Q50" s="1" t="s">
        <x:v>20</x:v>
      </x:c>
    </x:row>
    <x:row r="51" spans="1:17">
      <x:c r="A51" s="1" t="s">
        <x:v>20</x:v>
      </x:c>
      <x:c r="B51" s="2" t="s">
        <x:v>20</x:v>
      </x:c>
      <x:c r="C51" s="2" t="s">
        <x:v>20</x:v>
      </x:c>
      <x:c r="D51" s="1" t="s">
        <x:v>20</x:v>
      </x:c>
      <x:c r="E51" s="1" t="s">
        <x:v>26</x:v>
      </x:c>
      <x:c r="F51" s="1" t="s">
        <x:v>20</x:v>
      </x:c>
      <x:c r="G51" s="1" t="s">
        <x:v>20</x:v>
      </x:c>
      <x:c r="H51" s="1" t="s">
        <x:v>27</x:v>
      </x:c>
      <x:c r="I51" s="1" t="s">
        <x:v>20</x:v>
      </x:c>
      <x:c r="J51" s="1" t="s">
        <x:v>20</x:v>
      </x:c>
      <x:c r="K51" s="1" t="s">
        <x:v>20</x:v>
      </x:c>
      <x:c r="L51" s="1" t="s">
        <x:v>20</x:v>
      </x:c>
      <x:c r="M51" s="1" t="s">
        <x:v>20</x:v>
      </x:c>
      <x:c r="N51" s="1" t="s">
        <x:v>20</x:v>
      </x:c>
      <x:c r="O51" s="1" t="s">
        <x:v>20</x:v>
      </x:c>
      <x:c r="P51" s="1" t="s">
        <x:v>20</x:v>
      </x:c>
      <x:c r="Q51" s="1" t="s">
        <x:v>20</x:v>
      </x:c>
    </x:row>
    <x:row r="52" spans="1:17">
      <x:c r="A52" s="1" t="s">
        <x:v>20</x:v>
      </x:c>
      <x:c r="B52" s="2" t="s">
        <x:v>20</x:v>
      </x:c>
      <x:c r="C52" s="2" t="s">
        <x:v>20</x:v>
      </x:c>
      <x:c r="D52" s="1" t="s">
        <x:v>20</x:v>
      </x:c>
      <x:c r="E52" s="1" t="s">
        <x:v>20</x:v>
      </x:c>
      <x:c r="F52" s="1" t="s">
        <x:v>66</x:v>
      </x:c>
      <x:c r="G52" s="1" t="s">
        <x:v>20</x:v>
      </x:c>
      <x:c r="H52" s="1" t="s">
        <x:v>29</x:v>
      </x:c>
      <x:c r="I52" s="1" t="s">
        <x:v>20</x:v>
      </x:c>
      <x:c r="J52" s="1" t="s">
        <x:v>20</x:v>
      </x:c>
      <x:c r="K52" s="1" t="s">
        <x:v>20</x:v>
      </x:c>
      <x:c r="L52" s="1" t="s">
        <x:v>20</x:v>
      </x:c>
      <x:c r="M52" s="1" t="s">
        <x:v>20</x:v>
      </x:c>
      <x:c r="N52" s="1" t="s">
        <x:v>20</x:v>
      </x:c>
      <x:c r="O52" s="1" t="s">
        <x:v>20</x:v>
      </x:c>
      <x:c r="P52" s="1" t="s">
        <x:v>20</x:v>
      </x:c>
      <x:c r="Q52" s="1" t="s">
        <x:v>20</x:v>
      </x:c>
    </x:row>
    <x:row r="53" spans="1:17">
      <x:c r="A53" s="1" t="s">
        <x:v>20</x:v>
      </x:c>
      <x:c r="B53" s="2" t="s">
        <x:v>20</x:v>
      </x:c>
      <x:c r="C53" s="2" t="s">
        <x:v>20</x:v>
      </x:c>
      <x:c r="D53" s="1" t="s">
        <x:v>20</x:v>
      </x:c>
      <x:c r="E53" s="1" t="s">
        <x:v>20</x:v>
      </x:c>
      <x:c r="F53" s="1" t="s">
        <x:v>30</x:v>
      </x:c>
      <x:c r="G53" s="1" t="s">
        <x:v>20</x:v>
      </x:c>
      <x:c r="H53" s="1" t="s">
        <x:v>35</x:v>
      </x:c>
      <x:c r="I53" s="1" t="s">
        <x:v>20</x:v>
      </x:c>
      <x:c r="J53" s="1" t="s">
        <x:v>20</x:v>
      </x:c>
      <x:c r="K53" s="1" t="s">
        <x:v>20</x:v>
      </x:c>
      <x:c r="L53" s="1" t="s">
        <x:v>20</x:v>
      </x:c>
      <x:c r="M53" s="1" t="s">
        <x:v>20</x:v>
      </x:c>
      <x:c r="N53" s="1" t="s">
        <x:v>20</x:v>
      </x:c>
      <x:c r="O53" s="1" t="s">
        <x:v>20</x:v>
      </x:c>
      <x:c r="P53" s="1" t="s">
        <x:v>20</x:v>
      </x:c>
      <x:c r="Q53" s="1" t="s">
        <x:v>20</x:v>
      </x:c>
    </x:row>
    <x:row r="54" spans="1:17">
      <x:c r="A54" s="1" t="s">
        <x:v>67</x:v>
      </x:c>
      <x:c r="B54" s="2" t="s">
        <x:v>18</x:v>
      </x:c>
      <x:c r="C54" s="2">
        <x:f>HYPERLINK("https://team-w7jm.testit.software/projects/1/tests/130", "Аутентификация получение токена (в поле password вводим пробелы)")</x:f>
      </x:c>
      <x:c r="D54" s="1" t="s">
        <x:v>19</x:v>
      </x:c>
      <x:c r="E54" s="1" t="s">
        <x:v>20</x:v>
      </x:c>
      <x:c r="F54" s="1" t="s">
        <x:v>20</x:v>
      </x:c>
      <x:c r="G54" s="1" t="s">
        <x:v>20</x:v>
      </x:c>
      <x:c r="H54" s="1" t="s">
        <x:v>20</x:v>
      </x:c>
      <x:c r="I54" s="1" t="s">
        <x:v>20</x:v>
      </x:c>
      <x:c r="J54" s="1" t="s">
        <x:v>20</x:v>
      </x:c>
      <x:c r="K54" s="1" t="s">
        <x:v>20</x:v>
      </x:c>
      <x:c r="L54" s="1" t="s">
        <x:v>21</x:v>
      </x:c>
      <x:c r="M54" s="1" t="s">
        <x:v>22</x:v>
      </x:c>
      <x:c r="N54" s="1" t="s">
        <x:v>59</x:v>
      </x:c>
      <x:c r="O54" s="1" t="s">
        <x:v>24</x:v>
      </x:c>
      <x:c r="P54" s="1" t="s">
        <x:v>25</x:v>
      </x:c>
      <x:c r="Q54" s="1" t="s">
        <x:v>20</x:v>
      </x:c>
    </x:row>
    <x:row r="55" spans="1:17">
      <x:c r="A55" s="1" t="s">
        <x:v>20</x:v>
      </x:c>
      <x:c r="B55" s="2" t="s">
        <x:v>20</x:v>
      </x:c>
      <x:c r="C55" s="2" t="s">
        <x:v>20</x:v>
      </x:c>
      <x:c r="D55" s="1" t="s">
        <x:v>20</x:v>
      </x:c>
      <x:c r="E55" s="1" t="s">
        <x:v>26</x:v>
      </x:c>
      <x:c r="F55" s="1" t="s">
        <x:v>20</x:v>
      </x:c>
      <x:c r="G55" s="1" t="s">
        <x:v>20</x:v>
      </x:c>
      <x:c r="H55" s="1" t="s">
        <x:v>27</x:v>
      </x:c>
      <x:c r="I55" s="1" t="s">
        <x:v>20</x:v>
      </x:c>
      <x:c r="J55" s="1" t="s">
        <x:v>20</x:v>
      </x:c>
      <x:c r="K55" s="1" t="s">
        <x:v>20</x:v>
      </x:c>
      <x:c r="L55" s="1" t="s">
        <x:v>20</x:v>
      </x:c>
      <x:c r="M55" s="1" t="s">
        <x:v>20</x:v>
      </x:c>
      <x:c r="N55" s="1" t="s">
        <x:v>20</x:v>
      </x:c>
      <x:c r="O55" s="1" t="s">
        <x:v>20</x:v>
      </x:c>
      <x:c r="P55" s="1" t="s">
        <x:v>20</x:v>
      </x:c>
      <x:c r="Q55" s="1" t="s">
        <x:v>20</x:v>
      </x:c>
    </x:row>
    <x:row r="56" spans="1:17">
      <x:c r="A56" s="1" t="s">
        <x:v>20</x:v>
      </x:c>
      <x:c r="B56" s="2" t="s">
        <x:v>20</x:v>
      </x:c>
      <x:c r="C56" s="2" t="s">
        <x:v>20</x:v>
      </x:c>
      <x:c r="D56" s="1" t="s">
        <x:v>20</x:v>
      </x:c>
      <x:c r="E56" s="1" t="s">
        <x:v>20</x:v>
      </x:c>
      <x:c r="F56" s="1" t="s">
        <x:v>68</x:v>
      </x:c>
      <x:c r="G56" s="1" t="s">
        <x:v>20</x:v>
      </x:c>
      <x:c r="H56" s="1" t="s">
        <x:v>29</x:v>
      </x:c>
      <x:c r="I56" s="1" t="s">
        <x:v>20</x:v>
      </x:c>
      <x:c r="J56" s="1" t="s">
        <x:v>20</x:v>
      </x:c>
      <x:c r="K56" s="1" t="s">
        <x:v>20</x:v>
      </x:c>
      <x:c r="L56" s="1" t="s">
        <x:v>20</x:v>
      </x:c>
      <x:c r="M56" s="1" t="s">
        <x:v>20</x:v>
      </x:c>
      <x:c r="N56" s="1" t="s">
        <x:v>20</x:v>
      </x:c>
      <x:c r="O56" s="1" t="s">
        <x:v>20</x:v>
      </x:c>
      <x:c r="P56" s="1" t="s">
        <x:v>20</x:v>
      </x:c>
      <x:c r="Q56" s="1" t="s">
        <x:v>20</x:v>
      </x:c>
    </x:row>
    <x:row r="57" spans="1:17">
      <x:c r="A57" s="1" t="s">
        <x:v>20</x:v>
      </x:c>
      <x:c r="B57" s="2" t="s">
        <x:v>20</x:v>
      </x:c>
      <x:c r="C57" s="2" t="s">
        <x:v>20</x:v>
      </x:c>
      <x:c r="D57" s="1" t="s">
        <x:v>20</x:v>
      </x:c>
      <x:c r="E57" s="1" t="s">
        <x:v>20</x:v>
      </x:c>
      <x:c r="F57" s="1" t="s">
        <x:v>30</x:v>
      </x:c>
      <x:c r="G57" s="1" t="s">
        <x:v>20</x:v>
      </x:c>
      <x:c r="H57" s="1" t="s">
        <x:v>35</x:v>
      </x:c>
      <x:c r="I57" s="1" t="s">
        <x:v>20</x:v>
      </x:c>
      <x:c r="J57" s="1" t="s">
        <x:v>20</x:v>
      </x:c>
      <x:c r="K57" s="1" t="s">
        <x:v>20</x:v>
      </x:c>
      <x:c r="L57" s="1" t="s">
        <x:v>20</x:v>
      </x:c>
      <x:c r="M57" s="1" t="s">
        <x:v>20</x:v>
      </x:c>
      <x:c r="N57" s="1" t="s">
        <x:v>20</x:v>
      </x:c>
      <x:c r="O57" s="1" t="s">
        <x:v>20</x:v>
      </x:c>
      <x:c r="P57" s="1" t="s">
        <x:v>20</x:v>
      </x:c>
      <x:c r="Q57" s="1" t="s">
        <x:v>20</x:v>
      </x:c>
    </x:row>
    <x:row r="58" spans="1:17">
      <x:c r="A58" s="1" t="s">
        <x:v>69</x:v>
      </x:c>
      <x:c r="B58" s="2" t="s">
        <x:v>18</x:v>
      </x:c>
      <x:c r="C58" s="2">
        <x:f>HYPERLINK("https://team-w7jm.testit.software/projects/1/tests/131", "Аутентификация получение токена (в поле password вводим кириллицу)")</x:f>
      </x:c>
      <x:c r="D58" s="1" t="s">
        <x:v>19</x:v>
      </x:c>
      <x:c r="E58" s="1" t="s">
        <x:v>20</x:v>
      </x:c>
      <x:c r="F58" s="1" t="s">
        <x:v>20</x:v>
      </x:c>
      <x:c r="G58" s="1" t="s">
        <x:v>20</x:v>
      </x:c>
      <x:c r="H58" s="1" t="s">
        <x:v>20</x:v>
      </x:c>
      <x:c r="I58" s="1" t="s">
        <x:v>20</x:v>
      </x:c>
      <x:c r="J58" s="1" t="s">
        <x:v>20</x:v>
      </x:c>
      <x:c r="K58" s="1" t="s">
        <x:v>20</x:v>
      </x:c>
      <x:c r="L58" s="1" t="s">
        <x:v>21</x:v>
      </x:c>
      <x:c r="M58" s="1" t="s">
        <x:v>22</x:v>
      </x:c>
      <x:c r="N58" s="1" t="s">
        <x:v>59</x:v>
      </x:c>
      <x:c r="O58" s="1" t="s">
        <x:v>24</x:v>
      </x:c>
      <x:c r="P58" s="1" t="s">
        <x:v>25</x:v>
      </x:c>
      <x:c r="Q58" s="1" t="s">
        <x:v>20</x:v>
      </x:c>
    </x:row>
    <x:row r="59" spans="1:17">
      <x:c r="A59" s="1" t="s">
        <x:v>20</x:v>
      </x:c>
      <x:c r="B59" s="2" t="s">
        <x:v>20</x:v>
      </x:c>
      <x:c r="C59" s="2" t="s">
        <x:v>20</x:v>
      </x:c>
      <x:c r="D59" s="1" t="s">
        <x:v>20</x:v>
      </x:c>
      <x:c r="E59" s="1" t="s">
        <x:v>26</x:v>
      </x:c>
      <x:c r="F59" s="1" t="s">
        <x:v>20</x:v>
      </x:c>
      <x:c r="G59" s="1" t="s">
        <x:v>20</x:v>
      </x:c>
      <x:c r="H59" s="1" t="s">
        <x:v>27</x:v>
      </x:c>
      <x:c r="I59" s="1" t="s">
        <x:v>20</x:v>
      </x:c>
      <x:c r="J59" s="1" t="s">
        <x:v>20</x:v>
      </x:c>
      <x:c r="K59" s="1" t="s">
        <x:v>20</x:v>
      </x:c>
      <x:c r="L59" s="1" t="s">
        <x:v>20</x:v>
      </x:c>
      <x:c r="M59" s="1" t="s">
        <x:v>20</x:v>
      </x:c>
      <x:c r="N59" s="1" t="s">
        <x:v>20</x:v>
      </x:c>
      <x:c r="O59" s="1" t="s">
        <x:v>20</x:v>
      </x:c>
      <x:c r="P59" s="1" t="s">
        <x:v>20</x:v>
      </x:c>
      <x:c r="Q59" s="1" t="s">
        <x:v>20</x:v>
      </x:c>
    </x:row>
    <x:row r="60" spans="1:17">
      <x:c r="A60" s="1" t="s">
        <x:v>20</x:v>
      </x:c>
      <x:c r="B60" s="2" t="s">
        <x:v>20</x:v>
      </x:c>
      <x:c r="C60" s="2" t="s">
        <x:v>20</x:v>
      </x:c>
      <x:c r="D60" s="1" t="s">
        <x:v>20</x:v>
      </x:c>
      <x:c r="E60" s="1" t="s">
        <x:v>20</x:v>
      </x:c>
      <x:c r="F60" s="1" t="s">
        <x:v>70</x:v>
      </x:c>
      <x:c r="G60" s="1" t="s">
        <x:v>20</x:v>
      </x:c>
      <x:c r="H60" s="1" t="s">
        <x:v>29</x:v>
      </x:c>
      <x:c r="I60" s="1" t="s">
        <x:v>20</x:v>
      </x:c>
      <x:c r="J60" s="1" t="s">
        <x:v>20</x:v>
      </x:c>
      <x:c r="K60" s="1" t="s">
        <x:v>20</x:v>
      </x:c>
      <x:c r="L60" s="1" t="s">
        <x:v>20</x:v>
      </x:c>
      <x:c r="M60" s="1" t="s">
        <x:v>20</x:v>
      </x:c>
      <x:c r="N60" s="1" t="s">
        <x:v>20</x:v>
      </x:c>
      <x:c r="O60" s="1" t="s">
        <x:v>20</x:v>
      </x:c>
      <x:c r="P60" s="1" t="s">
        <x:v>20</x:v>
      </x:c>
      <x:c r="Q60" s="1" t="s">
        <x:v>20</x:v>
      </x:c>
    </x:row>
    <x:row r="61" spans="1:17">
      <x:c r="A61" s="1" t="s">
        <x:v>20</x:v>
      </x:c>
      <x:c r="B61" s="2" t="s">
        <x:v>20</x:v>
      </x:c>
      <x:c r="C61" s="2" t="s">
        <x:v>20</x:v>
      </x:c>
      <x:c r="D61" s="1" t="s">
        <x:v>20</x:v>
      </x:c>
      <x:c r="E61" s="1" t="s">
        <x:v>20</x:v>
      </x:c>
      <x:c r="F61" s="1" t="s">
        <x:v>30</x:v>
      </x:c>
      <x:c r="G61" s="1" t="s">
        <x:v>20</x:v>
      </x:c>
      <x:c r="H61" s="1" t="s">
        <x:v>35</x:v>
      </x:c>
      <x:c r="I61" s="1" t="s">
        <x:v>20</x:v>
      </x:c>
      <x:c r="J61" s="1" t="s">
        <x:v>20</x:v>
      </x:c>
      <x:c r="K61" s="1" t="s">
        <x:v>20</x:v>
      </x:c>
      <x:c r="L61" s="1" t="s">
        <x:v>20</x:v>
      </x:c>
      <x:c r="M61" s="1" t="s">
        <x:v>20</x:v>
      </x:c>
      <x:c r="N61" s="1" t="s">
        <x:v>20</x:v>
      </x:c>
      <x:c r="O61" s="1" t="s">
        <x:v>20</x:v>
      </x:c>
      <x:c r="P61" s="1" t="s">
        <x:v>20</x:v>
      </x:c>
      <x:c r="Q61" s="1" t="s">
        <x:v>20</x:v>
      </x:c>
    </x:row>
    <x:row r="62" spans="1:17">
      <x:c r="A62" s="1" t="s">
        <x:v>71</x:v>
      </x:c>
      <x:c r="B62" s="2" t="s">
        <x:v>18</x:v>
      </x:c>
      <x:c r="C62" s="2">
        <x:f>HYPERLINK("https://team-w7jm.testit.software/projects/1/tests/132", "Аутентификация получение токена (в поле password через дефис)")</x:f>
      </x:c>
      <x:c r="D62" s="1" t="s">
        <x:v>19</x:v>
      </x:c>
      <x:c r="E62" s="1" t="s">
        <x:v>20</x:v>
      </x:c>
      <x:c r="F62" s="1" t="s">
        <x:v>20</x:v>
      </x:c>
      <x:c r="G62" s="1" t="s">
        <x:v>20</x:v>
      </x:c>
      <x:c r="H62" s="1" t="s">
        <x:v>20</x:v>
      </x:c>
      <x:c r="I62" s="1" t="s">
        <x:v>20</x:v>
      </x:c>
      <x:c r="J62" s="1" t="s">
        <x:v>20</x:v>
      </x:c>
      <x:c r="K62" s="1" t="s">
        <x:v>20</x:v>
      </x:c>
      <x:c r="L62" s="1" t="s">
        <x:v>21</x:v>
      </x:c>
      <x:c r="M62" s="1" t="s">
        <x:v>22</x:v>
      </x:c>
      <x:c r="N62" s="1" t="s">
        <x:v>59</x:v>
      </x:c>
      <x:c r="O62" s="1" t="s">
        <x:v>24</x:v>
      </x:c>
      <x:c r="P62" s="1" t="s">
        <x:v>25</x:v>
      </x:c>
      <x:c r="Q62" s="1" t="s">
        <x:v>20</x:v>
      </x:c>
    </x:row>
    <x:row r="63" spans="1:17">
      <x:c r="A63" s="1" t="s">
        <x:v>20</x:v>
      </x:c>
      <x:c r="B63" s="2" t="s">
        <x:v>20</x:v>
      </x:c>
      <x:c r="C63" s="2" t="s">
        <x:v>20</x:v>
      </x:c>
      <x:c r="D63" s="1" t="s">
        <x:v>20</x:v>
      </x:c>
      <x:c r="E63" s="1" t="s">
        <x:v>26</x:v>
      </x:c>
      <x:c r="F63" s="1" t="s">
        <x:v>20</x:v>
      </x:c>
      <x:c r="G63" s="1" t="s">
        <x:v>20</x:v>
      </x:c>
      <x:c r="H63" s="1" t="s">
        <x:v>27</x:v>
      </x:c>
      <x:c r="I63" s="1" t="s">
        <x:v>20</x:v>
      </x:c>
      <x:c r="J63" s="1" t="s">
        <x:v>20</x:v>
      </x:c>
      <x:c r="K63" s="1" t="s">
        <x:v>20</x:v>
      </x:c>
      <x:c r="L63" s="1" t="s">
        <x:v>20</x:v>
      </x:c>
      <x:c r="M63" s="1" t="s">
        <x:v>20</x:v>
      </x:c>
      <x:c r="N63" s="1" t="s">
        <x:v>20</x:v>
      </x:c>
      <x:c r="O63" s="1" t="s">
        <x:v>20</x:v>
      </x:c>
      <x:c r="P63" s="1" t="s">
        <x:v>20</x:v>
      </x:c>
      <x:c r="Q63" s="1" t="s">
        <x:v>20</x:v>
      </x:c>
    </x:row>
    <x:row r="64" spans="1:17">
      <x:c r="A64" s="1" t="s">
        <x:v>20</x:v>
      </x:c>
      <x:c r="B64" s="2" t="s">
        <x:v>20</x:v>
      </x:c>
      <x:c r="C64" s="2" t="s">
        <x:v>20</x:v>
      </x:c>
      <x:c r="D64" s="1" t="s">
        <x:v>20</x:v>
      </x:c>
      <x:c r="E64" s="1" t="s">
        <x:v>20</x:v>
      </x:c>
      <x:c r="F64" s="1" t="s">
        <x:v>72</x:v>
      </x:c>
      <x:c r="G64" s="1" t="s">
        <x:v>20</x:v>
      </x:c>
      <x:c r="H64" s="1" t="s">
        <x:v>29</x:v>
      </x:c>
      <x:c r="I64" s="1" t="s">
        <x:v>20</x:v>
      </x:c>
      <x:c r="J64" s="1" t="s">
        <x:v>20</x:v>
      </x:c>
      <x:c r="K64" s="1" t="s">
        <x:v>20</x:v>
      </x:c>
      <x:c r="L64" s="1" t="s">
        <x:v>20</x:v>
      </x:c>
      <x:c r="M64" s="1" t="s">
        <x:v>20</x:v>
      </x:c>
      <x:c r="N64" s="1" t="s">
        <x:v>20</x:v>
      </x:c>
      <x:c r="O64" s="1" t="s">
        <x:v>20</x:v>
      </x:c>
      <x:c r="P64" s="1" t="s">
        <x:v>20</x:v>
      </x:c>
      <x:c r="Q64" s="1" t="s">
        <x:v>20</x:v>
      </x:c>
    </x:row>
    <x:row r="65" spans="1:17">
      <x:c r="A65" s="1" t="s">
        <x:v>20</x:v>
      </x:c>
      <x:c r="B65" s="2" t="s">
        <x:v>20</x:v>
      </x:c>
      <x:c r="C65" s="2" t="s">
        <x:v>20</x:v>
      </x:c>
      <x:c r="D65" s="1" t="s">
        <x:v>20</x:v>
      </x:c>
      <x:c r="E65" s="1" t="s">
        <x:v>20</x:v>
      </x:c>
      <x:c r="F65" s="1" t="s">
        <x:v>30</x:v>
      </x:c>
      <x:c r="G65" s="1" t="s">
        <x:v>20</x:v>
      </x:c>
      <x:c r="H65" s="1" t="s">
        <x:v>35</x:v>
      </x:c>
      <x:c r="I65" s="1" t="s">
        <x:v>20</x:v>
      </x:c>
      <x:c r="J65" s="1" t="s">
        <x:v>20</x:v>
      </x:c>
      <x:c r="K65" s="1" t="s">
        <x:v>20</x:v>
      </x:c>
      <x:c r="L65" s="1" t="s">
        <x:v>20</x:v>
      </x:c>
      <x:c r="M65" s="1" t="s">
        <x:v>20</x:v>
      </x:c>
      <x:c r="N65" s="1" t="s">
        <x:v>20</x:v>
      </x:c>
      <x:c r="O65" s="1" t="s">
        <x:v>20</x:v>
      </x:c>
      <x:c r="P65" s="1" t="s">
        <x:v>20</x:v>
      </x:c>
      <x:c r="Q65" s="1" t="s">
        <x:v>20</x:v>
      </x:c>
    </x:row>
    <x:row r="66" spans="1:17">
      <x:c r="A66" s="1" t="s">
        <x:v>73</x:v>
      </x:c>
      <x:c r="B66" s="2" t="s">
        <x:v>18</x:v>
      </x:c>
      <x:c r="C66" s="2">
        <x:f>HYPERLINK("https://team-w7jm.testit.software/projects/1/tests/133", "Аутентификация получение токена (в поле username вводим кириллицу)")</x:f>
      </x:c>
      <x:c r="D66" s="1" t="s">
        <x:v>19</x:v>
      </x:c>
      <x:c r="E66" s="1" t="s">
        <x:v>20</x:v>
      </x:c>
      <x:c r="F66" s="1" t="s">
        <x:v>20</x:v>
      </x:c>
      <x:c r="G66" s="1" t="s">
        <x:v>20</x:v>
      </x:c>
      <x:c r="H66" s="1" t="s">
        <x:v>20</x:v>
      </x:c>
      <x:c r="I66" s="1" t="s">
        <x:v>20</x:v>
      </x:c>
      <x:c r="J66" s="1" t="s">
        <x:v>20</x:v>
      </x:c>
      <x:c r="K66" s="1" t="s">
        <x:v>20</x:v>
      </x:c>
      <x:c r="L66" s="1" t="s">
        <x:v>21</x:v>
      </x:c>
      <x:c r="M66" s="1" t="s">
        <x:v>22</x:v>
      </x:c>
      <x:c r="N66" s="1" t="s">
        <x:v>74</x:v>
      </x:c>
      <x:c r="O66" s="1" t="s">
        <x:v>24</x:v>
      </x:c>
      <x:c r="P66" s="1" t="s">
        <x:v>25</x:v>
      </x:c>
      <x:c r="Q66" s="1" t="s">
        <x:v>20</x:v>
      </x:c>
    </x:row>
    <x:row r="67" spans="1:17">
      <x:c r="A67" s="1" t="s">
        <x:v>20</x:v>
      </x:c>
      <x:c r="B67" s="2" t="s">
        <x:v>20</x:v>
      </x:c>
      <x:c r="C67" s="2" t="s">
        <x:v>20</x:v>
      </x:c>
      <x:c r="D67" s="1" t="s">
        <x:v>20</x:v>
      </x:c>
      <x:c r="E67" s="1" t="s">
        <x:v>26</x:v>
      </x:c>
      <x:c r="F67" s="1" t="s">
        <x:v>20</x:v>
      </x:c>
      <x:c r="G67" s="1" t="s">
        <x:v>20</x:v>
      </x:c>
      <x:c r="H67" s="1" t="s">
        <x:v>27</x:v>
      </x:c>
      <x:c r="I67" s="1" t="s">
        <x:v>20</x:v>
      </x:c>
      <x:c r="J67" s="1" t="s">
        <x:v>20</x:v>
      </x:c>
      <x:c r="K67" s="1" t="s">
        <x:v>20</x:v>
      </x:c>
      <x:c r="L67" s="1" t="s">
        <x:v>20</x:v>
      </x:c>
      <x:c r="M67" s="1" t="s">
        <x:v>20</x:v>
      </x:c>
      <x:c r="N67" s="1" t="s">
        <x:v>20</x:v>
      </x:c>
      <x:c r="O67" s="1" t="s">
        <x:v>20</x:v>
      </x:c>
      <x:c r="P67" s="1" t="s">
        <x:v>20</x:v>
      </x:c>
      <x:c r="Q67" s="1" t="s">
        <x:v>20</x:v>
      </x:c>
    </x:row>
    <x:row r="68" spans="1:17">
      <x:c r="A68" s="1" t="s">
        <x:v>20</x:v>
      </x:c>
      <x:c r="B68" s="2" t="s">
        <x:v>20</x:v>
      </x:c>
      <x:c r="C68" s="2" t="s">
        <x:v>20</x:v>
      </x:c>
      <x:c r="D68" s="1" t="s">
        <x:v>20</x:v>
      </x:c>
      <x:c r="E68" s="1" t="s">
        <x:v>20</x:v>
      </x:c>
      <x:c r="F68" s="1" t="s">
        <x:v>75</x:v>
      </x:c>
      <x:c r="G68" s="1" t="s">
        <x:v>20</x:v>
      </x:c>
      <x:c r="H68" s="1" t="s">
        <x:v>29</x:v>
      </x:c>
      <x:c r="I68" s="1" t="s">
        <x:v>20</x:v>
      </x:c>
      <x:c r="J68" s="1" t="s">
        <x:v>20</x:v>
      </x:c>
      <x:c r="K68" s="1" t="s">
        <x:v>20</x:v>
      </x:c>
      <x:c r="L68" s="1" t="s">
        <x:v>20</x:v>
      </x:c>
      <x:c r="M68" s="1" t="s">
        <x:v>20</x:v>
      </x:c>
      <x:c r="N68" s="1" t="s">
        <x:v>20</x:v>
      </x:c>
      <x:c r="O68" s="1" t="s">
        <x:v>20</x:v>
      </x:c>
      <x:c r="P68" s="1" t="s">
        <x:v>20</x:v>
      </x:c>
      <x:c r="Q68" s="1" t="s">
        <x:v>20</x:v>
      </x:c>
    </x:row>
    <x:row r="69" spans="1:17">
      <x:c r="A69" s="1" t="s">
        <x:v>20</x:v>
      </x:c>
      <x:c r="B69" s="2" t="s">
        <x:v>20</x:v>
      </x:c>
      <x:c r="C69" s="2" t="s">
        <x:v>20</x:v>
      </x:c>
      <x:c r="D69" s="1" t="s">
        <x:v>20</x:v>
      </x:c>
      <x:c r="E69" s="1" t="s">
        <x:v>20</x:v>
      </x:c>
      <x:c r="F69" s="1" t="s">
        <x:v>30</x:v>
      </x:c>
      <x:c r="G69" s="1" t="s">
        <x:v>20</x:v>
      </x:c>
      <x:c r="H69" s="1" t="s">
        <x:v>35</x:v>
      </x:c>
      <x:c r="I69" s="1" t="s">
        <x:v>20</x:v>
      </x:c>
      <x:c r="J69" s="1" t="s">
        <x:v>20</x:v>
      </x:c>
      <x:c r="K69" s="1" t="s">
        <x:v>20</x:v>
      </x:c>
      <x:c r="L69" s="1" t="s">
        <x:v>20</x:v>
      </x:c>
      <x:c r="M69" s="1" t="s">
        <x:v>20</x:v>
      </x:c>
      <x:c r="N69" s="1" t="s">
        <x:v>20</x:v>
      </x:c>
      <x:c r="O69" s="1" t="s">
        <x:v>20</x:v>
      </x:c>
      <x:c r="P69" s="1" t="s">
        <x:v>20</x:v>
      </x:c>
      <x:c r="Q69" s="1" t="s">
        <x:v>20</x:v>
      </x:c>
    </x:row>
    <x:row r="70" spans="1:17">
      <x:c r="A70" s="1" t="s">
        <x:v>76</x:v>
      </x:c>
      <x:c r="B70" s="2" t="s">
        <x:v>77</x:v>
      </x:c>
      <x:c r="C70" s="2">
        <x:f>HYPERLINK("https://team-w7jm.testit.software/projects/1/tests/134", "Запрос ID всех бронирований")</x:f>
      </x:c>
      <x:c r="D70" s="1" t="s">
        <x:v>19</x:v>
      </x:c>
      <x:c r="E70" s="1" t="s">
        <x:v>20</x:v>
      </x:c>
      <x:c r="F70" s="1" t="s">
        <x:v>20</x:v>
      </x:c>
      <x:c r="G70" s="1" t="s">
        <x:v>20</x:v>
      </x:c>
      <x:c r="H70" s="1" t="s">
        <x:v>20</x:v>
      </x:c>
      <x:c r="I70" s="1" t="s">
        <x:v>20</x:v>
      </x:c>
      <x:c r="J70" s="1" t="s">
        <x:v>20</x:v>
      </x:c>
      <x:c r="K70" s="1" t="s">
        <x:v>20</x:v>
      </x:c>
      <x:c r="L70" s="1" t="s">
        <x:v>78</x:v>
      </x:c>
      <x:c r="M70" s="1" t="s">
        <x:v>22</x:v>
      </x:c>
      <x:c r="N70" s="1" t="s">
        <x:v>79</x:v>
      </x:c>
      <x:c r="O70" s="1" t="s">
        <x:v>24</x:v>
      </x:c>
      <x:c r="P70" s="1" t="s">
        <x:v>25</x:v>
      </x:c>
      <x:c r="Q70" s="1" t="s">
        <x:v>20</x:v>
      </x:c>
    </x:row>
    <x:row r="71" spans="1:17">
      <x:c r="A71" s="1" t="s">
        <x:v>20</x:v>
      </x:c>
      <x:c r="B71" s="2" t="s">
        <x:v>20</x:v>
      </x:c>
      <x:c r="C71" s="2" t="s">
        <x:v>20</x:v>
      </x:c>
      <x:c r="D71" s="1" t="s">
        <x:v>20</x:v>
      </x:c>
      <x:c r="E71" s="1" t="s">
        <x:v>26</x:v>
      </x:c>
      <x:c r="F71" s="1" t="s">
        <x:v>20</x:v>
      </x:c>
      <x:c r="G71" s="1" t="s">
        <x:v>20</x:v>
      </x:c>
      <x:c r="H71" s="1" t="s">
        <x:v>27</x:v>
      </x:c>
      <x:c r="I71" s="1" t="s">
        <x:v>20</x:v>
      </x:c>
      <x:c r="J71" s="1" t="s">
        <x:v>20</x:v>
      </x:c>
      <x:c r="K71" s="1" t="s">
        <x:v>20</x:v>
      </x:c>
      <x:c r="L71" s="1" t="s">
        <x:v>20</x:v>
      </x:c>
      <x:c r="M71" s="1" t="s">
        <x:v>20</x:v>
      </x:c>
      <x:c r="N71" s="1" t="s">
        <x:v>20</x:v>
      </x:c>
      <x:c r="O71" s="1" t="s">
        <x:v>20</x:v>
      </x:c>
      <x:c r="P71" s="1" t="s">
        <x:v>20</x:v>
      </x:c>
      <x:c r="Q71" s="1" t="s">
        <x:v>20</x:v>
      </x:c>
    </x:row>
    <x:row r="72" spans="1:17">
      <x:c r="A72" s="1" t="s">
        <x:v>20</x:v>
      </x:c>
      <x:c r="B72" s="2" t="s">
        <x:v>20</x:v>
      </x:c>
      <x:c r="C72" s="2" t="s">
        <x:v>20</x:v>
      </x:c>
      <x:c r="D72" s="1" t="s">
        <x:v>20</x:v>
      </x:c>
      <x:c r="E72" s="1" t="s">
        <x:v>20</x:v>
      </x:c>
      <x:c r="F72" s="2" t="s">
        <x:v>80</x:v>
      </x:c>
      <x:c r="G72" s="1" t="s">
        <x:v>20</x:v>
      </x:c>
      <x:c r="H72" s="1" t="s">
        <x:v>29</x:v>
      </x:c>
      <x:c r="I72" s="1" t="s">
        <x:v>20</x:v>
      </x:c>
      <x:c r="J72" s="1" t="s">
        <x:v>20</x:v>
      </x:c>
      <x:c r="K72" s="1" t="s">
        <x:v>20</x:v>
      </x:c>
      <x:c r="L72" s="1" t="s">
        <x:v>20</x:v>
      </x:c>
      <x:c r="M72" s="1" t="s">
        <x:v>20</x:v>
      </x:c>
      <x:c r="N72" s="1" t="s">
        <x:v>20</x:v>
      </x:c>
      <x:c r="O72" s="1" t="s">
        <x:v>20</x:v>
      </x:c>
      <x:c r="P72" s="1" t="s">
        <x:v>20</x:v>
      </x:c>
      <x:c r="Q72" s="1" t="s">
        <x:v>20</x:v>
      </x:c>
    </x:row>
    <x:row r="73" spans="1:17">
      <x:c r="A73" s="1" t="s">
        <x:v>20</x:v>
      </x:c>
      <x:c r="B73" s="2" t="s">
        <x:v>20</x:v>
      </x:c>
      <x:c r="C73" s="2" t="s">
        <x:v>20</x:v>
      </x:c>
      <x:c r="D73" s="1" t="s">
        <x:v>20</x:v>
      </x:c>
      <x:c r="E73" s="1" t="s">
        <x:v>20</x:v>
      </x:c>
      <x:c r="F73" s="1" t="s">
        <x:v>30</x:v>
      </x:c>
      <x:c r="G73" s="1" t="s">
        <x:v>20</x:v>
      </x:c>
      <x:c r="H73" s="1" t="s">
        <x:v>81</x:v>
      </x:c>
      <x:c r="I73" s="1" t="s">
        <x:v>20</x:v>
      </x:c>
      <x:c r="J73" s="1" t="s">
        <x:v>20</x:v>
      </x:c>
      <x:c r="K73" s="1" t="s">
        <x:v>20</x:v>
      </x:c>
      <x:c r="L73" s="1" t="s">
        <x:v>20</x:v>
      </x:c>
      <x:c r="M73" s="1" t="s">
        <x:v>20</x:v>
      </x:c>
      <x:c r="N73" s="1" t="s">
        <x:v>20</x:v>
      </x:c>
      <x:c r="O73" s="1" t="s">
        <x:v>20</x:v>
      </x:c>
      <x:c r="P73" s="1" t="s">
        <x:v>20</x:v>
      </x:c>
      <x:c r="Q73" s="1" t="s">
        <x:v>20</x:v>
      </x:c>
    </x:row>
    <x:row r="74" spans="1:17">
      <x:c r="A74" s="1" t="s">
        <x:v>82</x:v>
      </x:c>
      <x:c r="B74" s="2" t="s">
        <x:v>77</x:v>
      </x:c>
      <x:c r="C74" s="2">
        <x:f>HYPERLINK("https://team-w7jm.testit.software/projects/1/tests/135", "Структура одинакова при повторном запросе")</x:f>
      </x:c>
      <x:c r="D74" s="1" t="s">
        <x:v>19</x:v>
      </x:c>
      <x:c r="E74" s="1" t="s">
        <x:v>20</x:v>
      </x:c>
      <x:c r="F74" s="1" t="s">
        <x:v>20</x:v>
      </x:c>
      <x:c r="G74" s="1" t="s">
        <x:v>20</x:v>
      </x:c>
      <x:c r="H74" s="1" t="s">
        <x:v>20</x:v>
      </x:c>
      <x:c r="I74" s="1" t="s">
        <x:v>20</x:v>
      </x:c>
      <x:c r="J74" s="1" t="s">
        <x:v>20</x:v>
      </x:c>
      <x:c r="K74" s="1" t="s">
        <x:v>20</x:v>
      </x:c>
      <x:c r="L74" s="1" t="s">
        <x:v>78</x:v>
      </x:c>
      <x:c r="M74" s="1" t="s">
        <x:v>22</x:v>
      </x:c>
      <x:c r="N74" s="1" t="s">
        <x:v>83</x:v>
      </x:c>
      <x:c r="O74" s="1" t="s">
        <x:v>24</x:v>
      </x:c>
      <x:c r="P74" s="1" t="s">
        <x:v>25</x:v>
      </x:c>
      <x:c r="Q74" s="1" t="s">
        <x:v>20</x:v>
      </x:c>
    </x:row>
    <x:row r="75" spans="1:17">
      <x:c r="A75" s="1" t="s">
        <x:v>20</x:v>
      </x:c>
      <x:c r="B75" s="2" t="s">
        <x:v>20</x:v>
      </x:c>
      <x:c r="C75" s="2" t="s">
        <x:v>20</x:v>
      </x:c>
      <x:c r="D75" s="1" t="s">
        <x:v>20</x:v>
      </x:c>
      <x:c r="E75" s="1" t="s">
        <x:v>26</x:v>
      </x:c>
      <x:c r="F75" s="1" t="s">
        <x:v>20</x:v>
      </x:c>
      <x:c r="G75" s="1" t="s">
        <x:v>20</x:v>
      </x:c>
      <x:c r="H75" s="1" t="s">
        <x:v>27</x:v>
      </x:c>
      <x:c r="I75" s="1" t="s">
        <x:v>20</x:v>
      </x:c>
      <x:c r="J75" s="1" t="s">
        <x:v>20</x:v>
      </x:c>
      <x:c r="K75" s="1" t="s">
        <x:v>20</x:v>
      </x:c>
      <x:c r="L75" s="1" t="s">
        <x:v>20</x:v>
      </x:c>
      <x:c r="M75" s="1" t="s">
        <x:v>20</x:v>
      </x:c>
      <x:c r="N75" s="1" t="s">
        <x:v>20</x:v>
      </x:c>
      <x:c r="O75" s="1" t="s">
        <x:v>20</x:v>
      </x:c>
      <x:c r="P75" s="1" t="s">
        <x:v>20</x:v>
      </x:c>
      <x:c r="Q75" s="1" t="s">
        <x:v>20</x:v>
      </x:c>
    </x:row>
    <x:row r="76" spans="1:17">
      <x:c r="A76" s="1" t="s">
        <x:v>20</x:v>
      </x:c>
      <x:c r="B76" s="2" t="s">
        <x:v>20</x:v>
      </x:c>
      <x:c r="C76" s="2" t="s">
        <x:v>20</x:v>
      </x:c>
      <x:c r="D76" s="1" t="s">
        <x:v>20</x:v>
      </x:c>
      <x:c r="E76" s="1" t="s">
        <x:v>20</x:v>
      </x:c>
      <x:c r="F76" s="2" t="s">
        <x:v>80</x:v>
      </x:c>
      <x:c r="G76" s="1" t="s">
        <x:v>20</x:v>
      </x:c>
      <x:c r="H76" s="1" t="s">
        <x:v>29</x:v>
      </x:c>
      <x:c r="I76" s="1" t="s">
        <x:v>20</x:v>
      </x:c>
      <x:c r="J76" s="1" t="s">
        <x:v>20</x:v>
      </x:c>
      <x:c r="K76" s="1" t="s">
        <x:v>20</x:v>
      </x:c>
      <x:c r="L76" s="1" t="s">
        <x:v>20</x:v>
      </x:c>
      <x:c r="M76" s="1" t="s">
        <x:v>20</x:v>
      </x:c>
      <x:c r="N76" s="1" t="s">
        <x:v>20</x:v>
      </x:c>
      <x:c r="O76" s="1" t="s">
        <x:v>20</x:v>
      </x:c>
      <x:c r="P76" s="1" t="s">
        <x:v>20</x:v>
      </x:c>
      <x:c r="Q76" s="1" t="s">
        <x:v>20</x:v>
      </x:c>
    </x:row>
    <x:row r="77" spans="1:17">
      <x:c r="A77" s="1" t="s">
        <x:v>20</x:v>
      </x:c>
      <x:c r="B77" s="2" t="s">
        <x:v>20</x:v>
      </x:c>
      <x:c r="C77" s="2" t="s">
        <x:v>20</x:v>
      </x:c>
      <x:c r="D77" s="1" t="s">
        <x:v>20</x:v>
      </x:c>
      <x:c r="E77" s="1" t="s">
        <x:v>20</x:v>
      </x:c>
      <x:c r="F77" s="1" t="s">
        <x:v>30</x:v>
      </x:c>
      <x:c r="G77" s="1" t="s">
        <x:v>20</x:v>
      </x:c>
      <x:c r="H77" s="1" t="s">
        <x:v>84</x:v>
      </x:c>
      <x:c r="I77" s="1" t="s">
        <x:v>20</x:v>
      </x:c>
      <x:c r="J77" s="1" t="s">
        <x:v>20</x:v>
      </x:c>
      <x:c r="K77" s="1" t="s">
        <x:v>20</x:v>
      </x:c>
      <x:c r="L77" s="1" t="s">
        <x:v>20</x:v>
      </x:c>
      <x:c r="M77" s="1" t="s">
        <x:v>20</x:v>
      </x:c>
      <x:c r="N77" s="1" t="s">
        <x:v>20</x:v>
      </x:c>
      <x:c r="O77" s="1" t="s">
        <x:v>20</x:v>
      </x:c>
      <x:c r="P77" s="1" t="s">
        <x:v>20</x:v>
      </x:c>
      <x:c r="Q77" s="1" t="s">
        <x:v>20</x:v>
      </x:c>
    </x:row>
    <x:row r="78" spans="1:17">
      <x:c r="A78" s="1" t="s">
        <x:v>85</x:v>
      </x:c>
      <x:c r="B78" s="2" t="s">
        <x:v>77</x:v>
      </x:c>
      <x:c r="C78" s="2">
        <x:f>HYPERLINK("https://team-w7jm.testit.software/projects/1/tests/136", "Отсутствие дублированных номеров bookingid")</x:f>
      </x:c>
      <x:c r="D78" s="1" t="s">
        <x:v>19</x:v>
      </x:c>
      <x:c r="E78" s="1" t="s">
        <x:v>20</x:v>
      </x:c>
      <x:c r="F78" s="1" t="s">
        <x:v>20</x:v>
      </x:c>
      <x:c r="G78" s="1" t="s">
        <x:v>20</x:v>
      </x:c>
      <x:c r="H78" s="1" t="s">
        <x:v>20</x:v>
      </x:c>
      <x:c r="I78" s="1" t="s">
        <x:v>20</x:v>
      </x:c>
      <x:c r="J78" s="1" t="s">
        <x:v>20</x:v>
      </x:c>
      <x:c r="K78" s="1" t="s">
        <x:v>20</x:v>
      </x:c>
      <x:c r="L78" s="1" t="s">
        <x:v>78</x:v>
      </x:c>
      <x:c r="M78" s="1" t="s">
        <x:v>22</x:v>
      </x:c>
      <x:c r="N78" s="1" t="s">
        <x:v>86</x:v>
      </x:c>
      <x:c r="O78" s="1" t="s">
        <x:v>24</x:v>
      </x:c>
      <x:c r="P78" s="1" t="s">
        <x:v>25</x:v>
      </x:c>
      <x:c r="Q78" s="1" t="s">
        <x:v>20</x:v>
      </x:c>
    </x:row>
    <x:row r="79" spans="1:17">
      <x:c r="A79" s="1" t="s">
        <x:v>20</x:v>
      </x:c>
      <x:c r="B79" s="2" t="s">
        <x:v>20</x:v>
      </x:c>
      <x:c r="C79" s="2" t="s">
        <x:v>20</x:v>
      </x:c>
      <x:c r="D79" s="1" t="s">
        <x:v>20</x:v>
      </x:c>
      <x:c r="E79" s="1" t="s">
        <x:v>26</x:v>
      </x:c>
      <x:c r="F79" s="1" t="s">
        <x:v>20</x:v>
      </x:c>
      <x:c r="G79" s="1" t="s">
        <x:v>20</x:v>
      </x:c>
      <x:c r="H79" s="1" t="s">
        <x:v>27</x:v>
      </x:c>
      <x:c r="I79" s="1" t="s">
        <x:v>20</x:v>
      </x:c>
      <x:c r="J79" s="1" t="s">
        <x:v>20</x:v>
      </x:c>
      <x:c r="K79" s="1" t="s">
        <x:v>20</x:v>
      </x:c>
      <x:c r="L79" s="1" t="s">
        <x:v>20</x:v>
      </x:c>
      <x:c r="M79" s="1" t="s">
        <x:v>20</x:v>
      </x:c>
      <x:c r="N79" s="1" t="s">
        <x:v>20</x:v>
      </x:c>
      <x:c r="O79" s="1" t="s">
        <x:v>20</x:v>
      </x:c>
      <x:c r="P79" s="1" t="s">
        <x:v>20</x:v>
      </x:c>
      <x:c r="Q79" s="1" t="s">
        <x:v>20</x:v>
      </x:c>
    </x:row>
    <x:row r="80" spans="1:17">
      <x:c r="A80" s="1" t="s">
        <x:v>20</x:v>
      </x:c>
      <x:c r="B80" s="2" t="s">
        <x:v>20</x:v>
      </x:c>
      <x:c r="C80" s="2" t="s">
        <x:v>20</x:v>
      </x:c>
      <x:c r="D80" s="1" t="s">
        <x:v>20</x:v>
      </x:c>
      <x:c r="E80" s="1" t="s">
        <x:v>20</x:v>
      </x:c>
      <x:c r="F80" s="2" t="s">
        <x:v>80</x:v>
      </x:c>
      <x:c r="G80" s="1" t="s">
        <x:v>20</x:v>
      </x:c>
      <x:c r="H80" s="1" t="s">
        <x:v>29</x:v>
      </x:c>
      <x:c r="I80" s="1" t="s">
        <x:v>20</x:v>
      </x:c>
      <x:c r="J80" s="1" t="s">
        <x:v>20</x:v>
      </x:c>
      <x:c r="K80" s="1" t="s">
        <x:v>20</x:v>
      </x:c>
      <x:c r="L80" s="1" t="s">
        <x:v>20</x:v>
      </x:c>
      <x:c r="M80" s="1" t="s">
        <x:v>20</x:v>
      </x:c>
      <x:c r="N80" s="1" t="s">
        <x:v>20</x:v>
      </x:c>
      <x:c r="O80" s="1" t="s">
        <x:v>20</x:v>
      </x:c>
      <x:c r="P80" s="1" t="s">
        <x:v>20</x:v>
      </x:c>
      <x:c r="Q80" s="1" t="s">
        <x:v>20</x:v>
      </x:c>
    </x:row>
    <x:row r="81" spans="1:17">
      <x:c r="A81" s="1" t="s">
        <x:v>20</x:v>
      </x:c>
      <x:c r="B81" s="2" t="s">
        <x:v>20</x:v>
      </x:c>
      <x:c r="C81" s="2" t="s">
        <x:v>20</x:v>
      </x:c>
      <x:c r="D81" s="1" t="s">
        <x:v>20</x:v>
      </x:c>
      <x:c r="E81" s="1" t="s">
        <x:v>20</x:v>
      </x:c>
      <x:c r="F81" s="1" t="s">
        <x:v>30</x:v>
      </x:c>
      <x:c r="G81" s="1" t="s">
        <x:v>20</x:v>
      </x:c>
      <x:c r="H81" s="1" t="s">
        <x:v>87</x:v>
      </x:c>
      <x:c r="I81" s="1" t="s">
        <x:v>20</x:v>
      </x:c>
      <x:c r="J81" s="1" t="s">
        <x:v>20</x:v>
      </x:c>
      <x:c r="K81" s="1" t="s">
        <x:v>20</x:v>
      </x:c>
      <x:c r="L81" s="1" t="s">
        <x:v>20</x:v>
      </x:c>
      <x:c r="M81" s="1" t="s">
        <x:v>20</x:v>
      </x:c>
      <x:c r="N81" s="1" t="s">
        <x:v>20</x:v>
      </x:c>
      <x:c r="O81" s="1" t="s">
        <x:v>20</x:v>
      </x:c>
      <x:c r="P81" s="1" t="s">
        <x:v>20</x:v>
      </x:c>
      <x:c r="Q81" s="1" t="s">
        <x:v>20</x:v>
      </x:c>
    </x:row>
    <x:row r="82" spans="1:17">
      <x:c r="A82" s="1" t="s">
        <x:v>88</x:v>
      </x:c>
      <x:c r="B82" s="2" t="s">
        <x:v>77</x:v>
      </x:c>
      <x:c r="C82" s="2">
        <x:f>HYPERLINK("https://team-w7jm.testit.software/projects/1/tests/137", "Указать неверный путь")</x:f>
      </x:c>
      <x:c r="D82" s="1" t="s">
        <x:v>19</x:v>
      </x:c>
      <x:c r="E82" s="1" t="s">
        <x:v>20</x:v>
      </x:c>
      <x:c r="F82" s="1" t="s">
        <x:v>20</x:v>
      </x:c>
      <x:c r="G82" s="1" t="s">
        <x:v>20</x:v>
      </x:c>
      <x:c r="H82" s="1" t="s">
        <x:v>20</x:v>
      </x:c>
      <x:c r="I82" s="1" t="s">
        <x:v>20</x:v>
      </x:c>
      <x:c r="J82" s="1" t="s">
        <x:v>20</x:v>
      </x:c>
      <x:c r="K82" s="1" t="s">
        <x:v>20</x:v>
      </x:c>
      <x:c r="L82" s="1" t="s">
        <x:v>78</x:v>
      </x:c>
      <x:c r="M82" s="1" t="s">
        <x:v>22</x:v>
      </x:c>
      <x:c r="N82" s="1" t="s">
        <x:v>89</x:v>
      </x:c>
      <x:c r="O82" s="1" t="s">
        <x:v>24</x:v>
      </x:c>
      <x:c r="P82" s="1" t="s">
        <x:v>25</x:v>
      </x:c>
      <x:c r="Q82" s="1" t="s">
        <x:v>20</x:v>
      </x:c>
    </x:row>
    <x:row r="83" spans="1:17">
      <x:c r="A83" s="1" t="s">
        <x:v>20</x:v>
      </x:c>
      <x:c r="B83" s="2" t="s">
        <x:v>20</x:v>
      </x:c>
      <x:c r="C83" s="2" t="s">
        <x:v>20</x:v>
      </x:c>
      <x:c r="D83" s="1" t="s">
        <x:v>20</x:v>
      </x:c>
      <x:c r="E83" s="1" t="s">
        <x:v>26</x:v>
      </x:c>
      <x:c r="F83" s="1" t="s">
        <x:v>20</x:v>
      </x:c>
      <x:c r="G83" s="1" t="s">
        <x:v>20</x:v>
      </x:c>
      <x:c r="H83" s="1" t="s">
        <x:v>27</x:v>
      </x:c>
      <x:c r="I83" s="1" t="s">
        <x:v>20</x:v>
      </x:c>
      <x:c r="J83" s="1" t="s">
        <x:v>20</x:v>
      </x:c>
      <x:c r="K83" s="1" t="s">
        <x:v>20</x:v>
      </x:c>
      <x:c r="L83" s="1" t="s">
        <x:v>20</x:v>
      </x:c>
      <x:c r="M83" s="1" t="s">
        <x:v>20</x:v>
      </x:c>
      <x:c r="N83" s="1" t="s">
        <x:v>20</x:v>
      </x:c>
      <x:c r="O83" s="1" t="s">
        <x:v>20</x:v>
      </x:c>
      <x:c r="P83" s="1" t="s">
        <x:v>20</x:v>
      </x:c>
      <x:c r="Q83" s="1" t="s">
        <x:v>20</x:v>
      </x:c>
    </x:row>
    <x:row r="84" spans="1:17">
      <x:c r="A84" s="1" t="s">
        <x:v>20</x:v>
      </x:c>
      <x:c r="B84" s="2" t="s">
        <x:v>20</x:v>
      </x:c>
      <x:c r="C84" s="2" t="s">
        <x:v>20</x:v>
      </x:c>
      <x:c r="D84" s="1" t="s">
        <x:v>20</x:v>
      </x:c>
      <x:c r="E84" s="1" t="s">
        <x:v>20</x:v>
      </x:c>
      <x:c r="F84" s="2" t="s">
        <x:v>90</x:v>
      </x:c>
      <x:c r="G84" s="1" t="s">
        <x:v>20</x:v>
      </x:c>
      <x:c r="H84" s="1" t="s">
        <x:v>29</x:v>
      </x:c>
      <x:c r="I84" s="1" t="s">
        <x:v>20</x:v>
      </x:c>
      <x:c r="J84" s="1" t="s">
        <x:v>20</x:v>
      </x:c>
      <x:c r="K84" s="1" t="s">
        <x:v>20</x:v>
      </x:c>
      <x:c r="L84" s="1" t="s">
        <x:v>20</x:v>
      </x:c>
      <x:c r="M84" s="1" t="s">
        <x:v>20</x:v>
      </x:c>
      <x:c r="N84" s="1" t="s">
        <x:v>20</x:v>
      </x:c>
      <x:c r="O84" s="1" t="s">
        <x:v>20</x:v>
      </x:c>
      <x:c r="P84" s="1" t="s">
        <x:v>20</x:v>
      </x:c>
      <x:c r="Q84" s="1" t="s">
        <x:v>20</x:v>
      </x:c>
    </x:row>
    <x:row r="85" spans="1:17">
      <x:c r="A85" s="1" t="s">
        <x:v>20</x:v>
      </x:c>
      <x:c r="B85" s="2" t="s">
        <x:v>20</x:v>
      </x:c>
      <x:c r="C85" s="2" t="s">
        <x:v>20</x:v>
      </x:c>
      <x:c r="D85" s="1" t="s">
        <x:v>20</x:v>
      </x:c>
      <x:c r="E85" s="1" t="s">
        <x:v>20</x:v>
      </x:c>
      <x:c r="F85" s="1" t="s">
        <x:v>30</x:v>
      </x:c>
      <x:c r="G85" s="1" t="s">
        <x:v>20</x:v>
      </x:c>
      <x:c r="H85" s="1" t="s">
        <x:v>91</x:v>
      </x:c>
      <x:c r="I85" s="1" t="s">
        <x:v>20</x:v>
      </x:c>
      <x:c r="J85" s="1" t="s">
        <x:v>20</x:v>
      </x:c>
      <x:c r="K85" s="1" t="s">
        <x:v>20</x:v>
      </x:c>
      <x:c r="L85" s="1" t="s">
        <x:v>20</x:v>
      </x:c>
      <x:c r="M85" s="1" t="s">
        <x:v>20</x:v>
      </x:c>
      <x:c r="N85" s="1" t="s">
        <x:v>20</x:v>
      </x:c>
      <x:c r="O85" s="1" t="s">
        <x:v>20</x:v>
      </x:c>
      <x:c r="P85" s="1" t="s">
        <x:v>20</x:v>
      </x:c>
      <x:c r="Q85" s="1" t="s">
        <x:v>20</x:v>
      </x:c>
    </x:row>
    <x:row r="86" spans="1:17">
      <x:c r="A86" s="1" t="s">
        <x:v>92</x:v>
      </x:c>
      <x:c r="B86" s="2" t="s">
        <x:v>77</x:v>
      </x:c>
      <x:c r="C86" s="2">
        <x:f>HYPERLINK("https://team-w7jm.testit.software/projects/1/tests/138", "Запрос бронирований по параметрам firsname and lastname ")</x:f>
      </x:c>
      <x:c r="D86" s="1" t="s">
        <x:v>19</x:v>
      </x:c>
      <x:c r="E86" s="1" t="s">
        <x:v>20</x:v>
      </x:c>
      <x:c r="F86" s="1" t="s">
        <x:v>20</x:v>
      </x:c>
      <x:c r="G86" s="1" t="s">
        <x:v>20</x:v>
      </x:c>
      <x:c r="H86" s="1" t="s">
        <x:v>20</x:v>
      </x:c>
      <x:c r="I86" s="1" t="s">
        <x:v>20</x:v>
      </x:c>
      <x:c r="J86" s="1" t="s">
        <x:v>20</x:v>
      </x:c>
      <x:c r="K86" s="1" t="s">
        <x:v>20</x:v>
      </x:c>
      <x:c r="L86" s="1" t="s">
        <x:v>21</x:v>
      </x:c>
      <x:c r="M86" s="1" t="s">
        <x:v>22</x:v>
      </x:c>
      <x:c r="N86" s="1" t="s">
        <x:v>93</x:v>
      </x:c>
      <x:c r="O86" s="1" t="s">
        <x:v>24</x:v>
      </x:c>
      <x:c r="P86" s="1" t="s">
        <x:v>25</x:v>
      </x:c>
      <x:c r="Q86" s="1" t="s">
        <x:v>94</x:v>
      </x:c>
    </x:row>
    <x:row r="87" spans="1:17">
      <x:c r="A87" s="1" t="s">
        <x:v>20</x:v>
      </x:c>
      <x:c r="B87" s="2" t="s">
        <x:v>20</x:v>
      </x:c>
      <x:c r="C87" s="2" t="s">
        <x:v>20</x:v>
      </x:c>
      <x:c r="D87" s="1" t="s">
        <x:v>20</x:v>
      </x:c>
      <x:c r="E87" s="1" t="s">
        <x:v>26</x:v>
      </x:c>
      <x:c r="F87" s="1" t="s">
        <x:v>20</x:v>
      </x:c>
      <x:c r="G87" s="1" t="s">
        <x:v>20</x:v>
      </x:c>
      <x:c r="H87" s="1" t="s">
        <x:v>27</x:v>
      </x:c>
      <x:c r="I87" s="1" t="s">
        <x:v>20</x:v>
      </x:c>
      <x:c r="J87" s="1" t="s">
        <x:v>20</x:v>
      </x:c>
      <x:c r="K87" s="1" t="s">
        <x:v>20</x:v>
      </x:c>
      <x:c r="L87" s="1" t="s">
        <x:v>20</x:v>
      </x:c>
      <x:c r="M87" s="1" t="s">
        <x:v>20</x:v>
      </x:c>
      <x:c r="N87" s="1" t="s">
        <x:v>20</x:v>
      </x:c>
      <x:c r="O87" s="1" t="s">
        <x:v>20</x:v>
      </x:c>
      <x:c r="P87" s="1" t="s">
        <x:v>20</x:v>
      </x:c>
      <x:c r="Q87" s="1" t="s">
        <x:v>20</x:v>
      </x:c>
    </x:row>
    <x:row r="88" spans="1:17">
      <x:c r="A88" s="1" t="s">
        <x:v>20</x:v>
      </x:c>
      <x:c r="B88" s="2" t="s">
        <x:v>20</x:v>
      </x:c>
      <x:c r="C88" s="2" t="s">
        <x:v>20</x:v>
      </x:c>
      <x:c r="D88" s="1" t="s">
        <x:v>20</x:v>
      </x:c>
      <x:c r="E88" s="1" t="s">
        <x:v>20</x:v>
      </x:c>
      <x:c r="F88" s="2" t="s">
        <x:v>95</x:v>
      </x:c>
      <x:c r="G88" s="1" t="s">
        <x:v>20</x:v>
      </x:c>
      <x:c r="H88" s="1" t="s">
        <x:v>29</x:v>
      </x:c>
      <x:c r="I88" s="1" t="s">
        <x:v>20</x:v>
      </x:c>
      <x:c r="J88" s="1" t="s">
        <x:v>20</x:v>
      </x:c>
      <x:c r="K88" s="1" t="s">
        <x:v>20</x:v>
      </x:c>
      <x:c r="L88" s="1" t="s">
        <x:v>20</x:v>
      </x:c>
      <x:c r="M88" s="1" t="s">
        <x:v>20</x:v>
      </x:c>
      <x:c r="N88" s="1" t="s">
        <x:v>20</x:v>
      </x:c>
      <x:c r="O88" s="1" t="s">
        <x:v>20</x:v>
      </x:c>
      <x:c r="P88" s="1" t="s">
        <x:v>20</x:v>
      </x:c>
      <x:c r="Q88" s="1" t="s">
        <x:v>20</x:v>
      </x:c>
    </x:row>
    <x:row r="89" spans="1:17">
      <x:c r="A89" s="1" t="s">
        <x:v>20</x:v>
      </x:c>
      <x:c r="B89" s="2" t="s">
        <x:v>20</x:v>
      </x:c>
      <x:c r="C89" s="2" t="s">
        <x:v>20</x:v>
      </x:c>
      <x:c r="D89" s="1" t="s">
        <x:v>20</x:v>
      </x:c>
      <x:c r="E89" s="1" t="s">
        <x:v>20</x:v>
      </x:c>
      <x:c r="F89" s="1" t="s">
        <x:v>30</x:v>
      </x:c>
      <x:c r="G89" s="1" t="s">
        <x:v>20</x:v>
      </x:c>
      <x:c r="H89" s="1" t="s">
        <x:v>96</x:v>
      </x:c>
      <x:c r="I89" s="1" t="s">
        <x:v>20</x:v>
      </x:c>
      <x:c r="J89" s="1" t="s">
        <x:v>20</x:v>
      </x:c>
      <x:c r="K89" s="1" t="s">
        <x:v>20</x:v>
      </x:c>
      <x:c r="L89" s="1" t="s">
        <x:v>20</x:v>
      </x:c>
      <x:c r="M89" s="1" t="s">
        <x:v>20</x:v>
      </x:c>
      <x:c r="N89" s="1" t="s">
        <x:v>20</x:v>
      </x:c>
      <x:c r="O89" s="1" t="s">
        <x:v>20</x:v>
      </x:c>
      <x:c r="P89" s="1" t="s">
        <x:v>20</x:v>
      </x:c>
      <x:c r="Q89" s="1" t="s">
        <x:v>20</x:v>
      </x:c>
    </x:row>
    <x:row r="90" spans="1:17">
      <x:c r="A90" s="1" t="s">
        <x:v>97</x:v>
      </x:c>
      <x:c r="B90" s="2" t="s">
        <x:v>77</x:v>
      </x:c>
      <x:c r="C90" s="2">
        <x:f>HYPERLINK("https://team-w7jm.testit.software/projects/1/tests/139", "Повторный запрос книги по параметрам firsname and lastname ")</x:f>
      </x:c>
      <x:c r="D90" s="1" t="s">
        <x:v>19</x:v>
      </x:c>
      <x:c r="E90" s="1" t="s">
        <x:v>20</x:v>
      </x:c>
      <x:c r="F90" s="1" t="s">
        <x:v>20</x:v>
      </x:c>
      <x:c r="G90" s="1" t="s">
        <x:v>20</x:v>
      </x:c>
      <x:c r="H90" s="1" t="s">
        <x:v>20</x:v>
      </x:c>
      <x:c r="I90" s="1" t="s">
        <x:v>20</x:v>
      </x:c>
      <x:c r="J90" s="1" t="s">
        <x:v>20</x:v>
      </x:c>
      <x:c r="K90" s="1" t="s">
        <x:v>20</x:v>
      </x:c>
      <x:c r="L90" s="1" t="s">
        <x:v>21</x:v>
      </x:c>
      <x:c r="M90" s="1" t="s">
        <x:v>22</x:v>
      </x:c>
      <x:c r="N90" s="1" t="s">
        <x:v>98</x:v>
      </x:c>
      <x:c r="O90" s="1" t="s">
        <x:v>24</x:v>
      </x:c>
      <x:c r="P90" s="1" t="s">
        <x:v>25</x:v>
      </x:c>
      <x:c r="Q90" s="1" t="s">
        <x:v>94</x:v>
      </x:c>
    </x:row>
    <x:row r="91" spans="1:17">
      <x:c r="A91" s="1" t="s">
        <x:v>20</x:v>
      </x:c>
      <x:c r="B91" s="2" t="s">
        <x:v>20</x:v>
      </x:c>
      <x:c r="C91" s="2" t="s">
        <x:v>20</x:v>
      </x:c>
      <x:c r="D91" s="1" t="s">
        <x:v>20</x:v>
      </x:c>
      <x:c r="E91" s="1" t="s">
        <x:v>26</x:v>
      </x:c>
      <x:c r="F91" s="1" t="s">
        <x:v>20</x:v>
      </x:c>
      <x:c r="G91" s="1" t="s">
        <x:v>20</x:v>
      </x:c>
      <x:c r="H91" s="1" t="s">
        <x:v>27</x:v>
      </x:c>
      <x:c r="I91" s="1" t="s">
        <x:v>20</x:v>
      </x:c>
      <x:c r="J91" s="1" t="s">
        <x:v>20</x:v>
      </x:c>
      <x:c r="K91" s="1" t="s">
        <x:v>20</x:v>
      </x:c>
      <x:c r="L91" s="1" t="s">
        <x:v>20</x:v>
      </x:c>
      <x:c r="M91" s="1" t="s">
        <x:v>20</x:v>
      </x:c>
      <x:c r="N91" s="1" t="s">
        <x:v>20</x:v>
      </x:c>
      <x:c r="O91" s="1" t="s">
        <x:v>20</x:v>
      </x:c>
      <x:c r="P91" s="1" t="s">
        <x:v>20</x:v>
      </x:c>
      <x:c r="Q91" s="1" t="s">
        <x:v>20</x:v>
      </x:c>
    </x:row>
    <x:row r="92" spans="1:17">
      <x:c r="A92" s="1" t="s">
        <x:v>20</x:v>
      </x:c>
      <x:c r="B92" s="2" t="s">
        <x:v>20</x:v>
      </x:c>
      <x:c r="C92" s="2" t="s">
        <x:v>20</x:v>
      </x:c>
      <x:c r="D92" s="1" t="s">
        <x:v>20</x:v>
      </x:c>
      <x:c r="E92" s="1" t="s">
        <x:v>20</x:v>
      </x:c>
      <x:c r="F92" s="2" t="s">
        <x:v>95</x:v>
      </x:c>
      <x:c r="G92" s="1" t="s">
        <x:v>20</x:v>
      </x:c>
      <x:c r="H92" s="1" t="s">
        <x:v>29</x:v>
      </x:c>
      <x:c r="I92" s="1" t="s">
        <x:v>20</x:v>
      </x:c>
      <x:c r="J92" s="1" t="s">
        <x:v>20</x:v>
      </x:c>
      <x:c r="K92" s="1" t="s">
        <x:v>20</x:v>
      </x:c>
      <x:c r="L92" s="1" t="s">
        <x:v>20</x:v>
      </x:c>
      <x:c r="M92" s="1" t="s">
        <x:v>20</x:v>
      </x:c>
      <x:c r="N92" s="1" t="s">
        <x:v>20</x:v>
      </x:c>
      <x:c r="O92" s="1" t="s">
        <x:v>20</x:v>
      </x:c>
      <x:c r="P92" s="1" t="s">
        <x:v>20</x:v>
      </x:c>
      <x:c r="Q92" s="1" t="s">
        <x:v>20</x:v>
      </x:c>
    </x:row>
    <x:row r="93" spans="1:17">
      <x:c r="A93" s="1" t="s">
        <x:v>20</x:v>
      </x:c>
      <x:c r="B93" s="2" t="s">
        <x:v>20</x:v>
      </x:c>
      <x:c r="C93" s="2" t="s">
        <x:v>20</x:v>
      </x:c>
      <x:c r="D93" s="1" t="s">
        <x:v>20</x:v>
      </x:c>
      <x:c r="E93" s="1" t="s">
        <x:v>20</x:v>
      </x:c>
      <x:c r="F93" s="1" t="s">
        <x:v>30</x:v>
      </x:c>
      <x:c r="G93" s="1" t="s">
        <x:v>20</x:v>
      </x:c>
      <x:c r="H93" s="1" t="s">
        <x:v>99</x:v>
      </x:c>
      <x:c r="I93" s="1" t="s">
        <x:v>20</x:v>
      </x:c>
      <x:c r="J93" s="1" t="s">
        <x:v>20</x:v>
      </x:c>
      <x:c r="K93" s="1" t="s">
        <x:v>20</x:v>
      </x:c>
      <x:c r="L93" s="1" t="s">
        <x:v>20</x:v>
      </x:c>
      <x:c r="M93" s="1" t="s">
        <x:v>20</x:v>
      </x:c>
      <x:c r="N93" s="1" t="s">
        <x:v>20</x:v>
      </x:c>
      <x:c r="O93" s="1" t="s">
        <x:v>20</x:v>
      </x:c>
      <x:c r="P93" s="1" t="s">
        <x:v>20</x:v>
      </x:c>
      <x:c r="Q93" s="1" t="s">
        <x:v>20</x:v>
      </x:c>
    </x:row>
    <x:row r="94" spans="1:17">
      <x:c r="A94" s="1" t="s">
        <x:v>100</x:v>
      </x:c>
      <x:c r="B94" s="2" t="s">
        <x:v>77</x:v>
      </x:c>
      <x:c r="C94" s="2">
        <x:f>HYPERLINK("https://team-w7jm.testit.software/projects/1/tests/140", "Запрос бронирований по параметрам firsname and lastname в верхнем регистре ")</x:f>
      </x:c>
      <x:c r="D94" s="1" t="s">
        <x:v>19</x:v>
      </x:c>
      <x:c r="E94" s="1" t="s">
        <x:v>20</x:v>
      </x:c>
      <x:c r="F94" s="1" t="s">
        <x:v>20</x:v>
      </x:c>
      <x:c r="G94" s="1" t="s">
        <x:v>20</x:v>
      </x:c>
      <x:c r="H94" s="1" t="s">
        <x:v>20</x:v>
      </x:c>
      <x:c r="I94" s="1" t="s">
        <x:v>20</x:v>
      </x:c>
      <x:c r="J94" s="1" t="s">
        <x:v>20</x:v>
      </x:c>
      <x:c r="K94" s="1" t="s">
        <x:v>20</x:v>
      </x:c>
      <x:c r="L94" s="1" t="s">
        <x:v>21</x:v>
      </x:c>
      <x:c r="M94" s="1" t="s">
        <x:v>22</x:v>
      </x:c>
      <x:c r="N94" s="1" t="s">
        <x:v>101</x:v>
      </x:c>
      <x:c r="O94" s="1" t="s">
        <x:v>24</x:v>
      </x:c>
      <x:c r="P94" s="1" t="s">
        <x:v>25</x:v>
      </x:c>
      <x:c r="Q94" s="1" t="s">
        <x:v>94</x:v>
      </x:c>
    </x:row>
    <x:row r="95" spans="1:17">
      <x:c r="A95" s="1" t="s">
        <x:v>20</x:v>
      </x:c>
      <x:c r="B95" s="2" t="s">
        <x:v>20</x:v>
      </x:c>
      <x:c r="C95" s="2" t="s">
        <x:v>20</x:v>
      </x:c>
      <x:c r="D95" s="1" t="s">
        <x:v>20</x:v>
      </x:c>
      <x:c r="E95" s="1" t="s">
        <x:v>26</x:v>
      </x:c>
      <x:c r="F95" s="1" t="s">
        <x:v>20</x:v>
      </x:c>
      <x:c r="G95" s="1" t="s">
        <x:v>20</x:v>
      </x:c>
      <x:c r="H95" s="1" t="s">
        <x:v>27</x:v>
      </x:c>
      <x:c r="I95" s="1" t="s">
        <x:v>20</x:v>
      </x:c>
      <x:c r="J95" s="1" t="s">
        <x:v>20</x:v>
      </x:c>
      <x:c r="K95" s="1" t="s">
        <x:v>20</x:v>
      </x:c>
      <x:c r="L95" s="1" t="s">
        <x:v>20</x:v>
      </x:c>
      <x:c r="M95" s="1" t="s">
        <x:v>20</x:v>
      </x:c>
      <x:c r="N95" s="1" t="s">
        <x:v>20</x:v>
      </x:c>
      <x:c r="O95" s="1" t="s">
        <x:v>20</x:v>
      </x:c>
      <x:c r="P95" s="1" t="s">
        <x:v>20</x:v>
      </x:c>
      <x:c r="Q95" s="1" t="s">
        <x:v>20</x:v>
      </x:c>
    </x:row>
    <x:row r="96" spans="1:17">
      <x:c r="A96" s="1" t="s">
        <x:v>20</x:v>
      </x:c>
      <x:c r="B96" s="2" t="s">
        <x:v>20</x:v>
      </x:c>
      <x:c r="C96" s="2" t="s">
        <x:v>20</x:v>
      </x:c>
      <x:c r="D96" s="1" t="s">
        <x:v>20</x:v>
      </x:c>
      <x:c r="E96" s="1" t="s">
        <x:v>20</x:v>
      </x:c>
      <x:c r="F96" s="2" t="s">
        <x:v>102</x:v>
      </x:c>
      <x:c r="G96" s="1" t="s">
        <x:v>20</x:v>
      </x:c>
      <x:c r="H96" s="1" t="s">
        <x:v>29</x:v>
      </x:c>
      <x:c r="I96" s="1" t="s">
        <x:v>20</x:v>
      </x:c>
      <x:c r="J96" s="1" t="s">
        <x:v>20</x:v>
      </x:c>
      <x:c r="K96" s="1" t="s">
        <x:v>20</x:v>
      </x:c>
      <x:c r="L96" s="1" t="s">
        <x:v>20</x:v>
      </x:c>
      <x:c r="M96" s="1" t="s">
        <x:v>20</x:v>
      </x:c>
      <x:c r="N96" s="1" t="s">
        <x:v>20</x:v>
      </x:c>
      <x:c r="O96" s="1" t="s">
        <x:v>20</x:v>
      </x:c>
      <x:c r="P96" s="1" t="s">
        <x:v>20</x:v>
      </x:c>
      <x:c r="Q96" s="1" t="s">
        <x:v>20</x:v>
      </x:c>
    </x:row>
    <x:row r="97" spans="1:17">
      <x:c r="A97" s="1" t="s">
        <x:v>20</x:v>
      </x:c>
      <x:c r="B97" s="2" t="s">
        <x:v>20</x:v>
      </x:c>
      <x:c r="C97" s="2" t="s">
        <x:v>20</x:v>
      </x:c>
      <x:c r="D97" s="1" t="s">
        <x:v>20</x:v>
      </x:c>
      <x:c r="E97" s="1" t="s">
        <x:v>20</x:v>
      </x:c>
      <x:c r="F97" s="1" t="s">
        <x:v>30</x:v>
      </x:c>
      <x:c r="G97" s="1" t="s">
        <x:v>20</x:v>
      </x:c>
      <x:c r="H97" s="1" t="s">
        <x:v>103</x:v>
      </x:c>
      <x:c r="I97" s="1" t="s">
        <x:v>20</x:v>
      </x:c>
      <x:c r="J97" s="1" t="s">
        <x:v>20</x:v>
      </x:c>
      <x:c r="K97" s="1" t="s">
        <x:v>20</x:v>
      </x:c>
      <x:c r="L97" s="1" t="s">
        <x:v>20</x:v>
      </x:c>
      <x:c r="M97" s="1" t="s">
        <x:v>20</x:v>
      </x:c>
      <x:c r="N97" s="1" t="s">
        <x:v>20</x:v>
      </x:c>
      <x:c r="O97" s="1" t="s">
        <x:v>20</x:v>
      </x:c>
      <x:c r="P97" s="1" t="s">
        <x:v>20</x:v>
      </x:c>
      <x:c r="Q97" s="1" t="s">
        <x:v>20</x:v>
      </x:c>
    </x:row>
    <x:row r="98" spans="1:17">
      <x:c r="A98" s="1" t="s">
        <x:v>104</x:v>
      </x:c>
      <x:c r="B98" s="2" t="s">
        <x:v>77</x:v>
      </x:c>
      <x:c r="C98" s="2">
        <x:f>HYPERLINK("https://team-w7jm.testit.software/projects/1/tests/141", "Запрос бронирований по параметрам firsname  ")</x:f>
      </x:c>
      <x:c r="D98" s="1" t="s">
        <x:v>19</x:v>
      </x:c>
      <x:c r="E98" s="1" t="s">
        <x:v>20</x:v>
      </x:c>
      <x:c r="F98" s="1" t="s">
        <x:v>20</x:v>
      </x:c>
      <x:c r="G98" s="1" t="s">
        <x:v>20</x:v>
      </x:c>
      <x:c r="H98" s="1" t="s">
        <x:v>20</x:v>
      </x:c>
      <x:c r="I98" s="1" t="s">
        <x:v>20</x:v>
      </x:c>
      <x:c r="J98" s="1" t="s">
        <x:v>20</x:v>
      </x:c>
      <x:c r="K98" s="1" t="s">
        <x:v>20</x:v>
      </x:c>
      <x:c r="L98" s="1" t="s">
        <x:v>21</x:v>
      </x:c>
      <x:c r="M98" s="1" t="s">
        <x:v>22</x:v>
      </x:c>
      <x:c r="N98" s="1" t="s">
        <x:v>105</x:v>
      </x:c>
      <x:c r="O98" s="1" t="s">
        <x:v>24</x:v>
      </x:c>
      <x:c r="P98" s="1" t="s">
        <x:v>25</x:v>
      </x:c>
      <x:c r="Q98" s="1" t="s">
        <x:v>94</x:v>
      </x:c>
    </x:row>
    <x:row r="99" spans="1:17">
      <x:c r="A99" s="1" t="s">
        <x:v>20</x:v>
      </x:c>
      <x:c r="B99" s="2" t="s">
        <x:v>20</x:v>
      </x:c>
      <x:c r="C99" s="2" t="s">
        <x:v>20</x:v>
      </x:c>
      <x:c r="D99" s="1" t="s">
        <x:v>20</x:v>
      </x:c>
      <x:c r="E99" s="1" t="s">
        <x:v>26</x:v>
      </x:c>
      <x:c r="F99" s="1" t="s">
        <x:v>20</x:v>
      </x:c>
      <x:c r="G99" s="1" t="s">
        <x:v>20</x:v>
      </x:c>
      <x:c r="H99" s="1" t="s">
        <x:v>27</x:v>
      </x:c>
      <x:c r="I99" s="1" t="s">
        <x:v>20</x:v>
      </x:c>
      <x:c r="J99" s="1" t="s">
        <x:v>20</x:v>
      </x:c>
      <x:c r="K99" s="1" t="s">
        <x:v>20</x:v>
      </x:c>
      <x:c r="L99" s="1" t="s">
        <x:v>20</x:v>
      </x:c>
      <x:c r="M99" s="1" t="s">
        <x:v>20</x:v>
      </x:c>
      <x:c r="N99" s="1" t="s">
        <x:v>20</x:v>
      </x:c>
      <x:c r="O99" s="1" t="s">
        <x:v>20</x:v>
      </x:c>
      <x:c r="P99" s="1" t="s">
        <x:v>20</x:v>
      </x:c>
      <x:c r="Q99" s="1" t="s">
        <x:v>20</x:v>
      </x:c>
    </x:row>
    <x:row r="100" spans="1:17">
      <x:c r="A100" s="1" t="s">
        <x:v>20</x:v>
      </x:c>
      <x:c r="B100" s="2" t="s">
        <x:v>20</x:v>
      </x:c>
      <x:c r="C100" s="2" t="s">
        <x:v>20</x:v>
      </x:c>
      <x:c r="D100" s="1" t="s">
        <x:v>20</x:v>
      </x:c>
      <x:c r="E100" s="1" t="s">
        <x:v>20</x:v>
      </x:c>
      <x:c r="F100" s="2" t="s">
        <x:v>106</x:v>
      </x:c>
      <x:c r="G100" s="1" t="s">
        <x:v>20</x:v>
      </x:c>
      <x:c r="H100" s="1" t="s">
        <x:v>29</x:v>
      </x:c>
      <x:c r="I100" s="1" t="s">
        <x:v>20</x:v>
      </x:c>
      <x:c r="J100" s="1" t="s">
        <x:v>20</x:v>
      </x:c>
      <x:c r="K100" s="1" t="s">
        <x:v>20</x:v>
      </x:c>
      <x:c r="L100" s="1" t="s">
        <x:v>20</x:v>
      </x:c>
      <x:c r="M100" s="1" t="s">
        <x:v>20</x:v>
      </x:c>
      <x:c r="N100" s="1" t="s">
        <x:v>20</x:v>
      </x:c>
      <x:c r="O100" s="1" t="s">
        <x:v>20</x:v>
      </x:c>
      <x:c r="P100" s="1" t="s">
        <x:v>20</x:v>
      </x:c>
      <x:c r="Q100" s="1" t="s">
        <x:v>20</x:v>
      </x:c>
    </x:row>
    <x:row r="101" spans="1:17">
      <x:c r="A101" s="1" t="s">
        <x:v>20</x:v>
      </x:c>
      <x:c r="B101" s="2" t="s">
        <x:v>20</x:v>
      </x:c>
      <x:c r="C101" s="2" t="s">
        <x:v>20</x:v>
      </x:c>
      <x:c r="D101" s="1" t="s">
        <x:v>20</x:v>
      </x:c>
      <x:c r="E101" s="1" t="s">
        <x:v>20</x:v>
      </x:c>
      <x:c r="F101" s="1" t="s">
        <x:v>30</x:v>
      </x:c>
      <x:c r="G101" s="1" t="s">
        <x:v>20</x:v>
      </x:c>
      <x:c r="H101" s="1" t="s">
        <x:v>103</x:v>
      </x:c>
      <x:c r="I101" s="1" t="s">
        <x:v>20</x:v>
      </x:c>
      <x:c r="J101" s="1" t="s">
        <x:v>20</x:v>
      </x:c>
      <x:c r="K101" s="1" t="s">
        <x:v>20</x:v>
      </x:c>
      <x:c r="L101" s="1" t="s">
        <x:v>20</x:v>
      </x:c>
      <x:c r="M101" s="1" t="s">
        <x:v>20</x:v>
      </x:c>
      <x:c r="N101" s="1" t="s">
        <x:v>20</x:v>
      </x:c>
      <x:c r="O101" s="1" t="s">
        <x:v>20</x:v>
      </x:c>
      <x:c r="P101" s="1" t="s">
        <x:v>20</x:v>
      </x:c>
      <x:c r="Q101" s="1" t="s">
        <x:v>20</x:v>
      </x:c>
    </x:row>
    <x:row r="102" spans="1:17">
      <x:c r="A102" s="1" t="s">
        <x:v>107</x:v>
      </x:c>
      <x:c r="B102" s="2" t="s">
        <x:v>77</x:v>
      </x:c>
      <x:c r="C102" s="2">
        <x:f>HYPERLINK("https://team-w7jm.testit.software/projects/1/tests/142", "Запрос бронирования по параметрам firsname и оставить значение пустым  ")</x:f>
      </x:c>
      <x:c r="D102" s="1" t="s">
        <x:v>19</x:v>
      </x:c>
      <x:c r="E102" s="1" t="s">
        <x:v>20</x:v>
      </x:c>
      <x:c r="F102" s="1" t="s">
        <x:v>20</x:v>
      </x:c>
      <x:c r="G102" s="1" t="s">
        <x:v>20</x:v>
      </x:c>
      <x:c r="H102" s="1" t="s">
        <x:v>20</x:v>
      </x:c>
      <x:c r="I102" s="1" t="s">
        <x:v>20</x:v>
      </x:c>
      <x:c r="J102" s="1" t="s">
        <x:v>20</x:v>
      </x:c>
      <x:c r="K102" s="1" t="s">
        <x:v>20</x:v>
      </x:c>
      <x:c r="L102" s="1" t="s">
        <x:v>21</x:v>
      </x:c>
      <x:c r="M102" s="1" t="s">
        <x:v>22</x:v>
      </x:c>
      <x:c r="N102" s="1" t="s">
        <x:v>108</x:v>
      </x:c>
      <x:c r="O102" s="1" t="s">
        <x:v>24</x:v>
      </x:c>
      <x:c r="P102" s="1" t="s">
        <x:v>25</x:v>
      </x:c>
      <x:c r="Q102" s="1" t="s">
        <x:v>94</x:v>
      </x:c>
    </x:row>
    <x:row r="103" spans="1:17">
      <x:c r="A103" s="1" t="s">
        <x:v>20</x:v>
      </x:c>
      <x:c r="B103" s="2" t="s">
        <x:v>20</x:v>
      </x:c>
      <x:c r="C103" s="2" t="s">
        <x:v>20</x:v>
      </x:c>
      <x:c r="D103" s="1" t="s">
        <x:v>20</x:v>
      </x:c>
      <x:c r="E103" s="1" t="s">
        <x:v>26</x:v>
      </x:c>
      <x:c r="F103" s="1" t="s">
        <x:v>20</x:v>
      </x:c>
      <x:c r="G103" s="1" t="s">
        <x:v>20</x:v>
      </x:c>
      <x:c r="H103" s="1" t="s">
        <x:v>27</x:v>
      </x:c>
      <x:c r="I103" s="1" t="s">
        <x:v>20</x:v>
      </x:c>
      <x:c r="J103" s="1" t="s">
        <x:v>20</x:v>
      </x:c>
      <x:c r="K103" s="1" t="s">
        <x:v>20</x:v>
      </x:c>
      <x:c r="L103" s="1" t="s">
        <x:v>20</x:v>
      </x:c>
      <x:c r="M103" s="1" t="s">
        <x:v>20</x:v>
      </x:c>
      <x:c r="N103" s="1" t="s">
        <x:v>20</x:v>
      </x:c>
      <x:c r="O103" s="1" t="s">
        <x:v>20</x:v>
      </x:c>
      <x:c r="P103" s="1" t="s">
        <x:v>20</x:v>
      </x:c>
      <x:c r="Q103" s="1" t="s">
        <x:v>20</x:v>
      </x:c>
    </x:row>
    <x:row r="104" spans="1:17">
      <x:c r="A104" s="1" t="s">
        <x:v>20</x:v>
      </x:c>
      <x:c r="B104" s="2" t="s">
        <x:v>20</x:v>
      </x:c>
      <x:c r="C104" s="2" t="s">
        <x:v>20</x:v>
      </x:c>
      <x:c r="D104" s="1" t="s">
        <x:v>20</x:v>
      </x:c>
      <x:c r="E104" s="1" t="s">
        <x:v>20</x:v>
      </x:c>
      <x:c r="F104" s="2" t="s">
        <x:v>109</x:v>
      </x:c>
      <x:c r="G104" s="1" t="s">
        <x:v>20</x:v>
      </x:c>
      <x:c r="H104" s="1" t="s">
        <x:v>29</x:v>
      </x:c>
      <x:c r="I104" s="1" t="s">
        <x:v>20</x:v>
      </x:c>
      <x:c r="J104" s="1" t="s">
        <x:v>20</x:v>
      </x:c>
      <x:c r="K104" s="1" t="s">
        <x:v>20</x:v>
      </x:c>
      <x:c r="L104" s="1" t="s">
        <x:v>20</x:v>
      </x:c>
      <x:c r="M104" s="1" t="s">
        <x:v>20</x:v>
      </x:c>
      <x:c r="N104" s="1" t="s">
        <x:v>20</x:v>
      </x:c>
      <x:c r="O104" s="1" t="s">
        <x:v>20</x:v>
      </x:c>
      <x:c r="P104" s="1" t="s">
        <x:v>20</x:v>
      </x:c>
      <x:c r="Q104" s="1" t="s">
        <x:v>20</x:v>
      </x:c>
    </x:row>
    <x:row r="105" spans="1:17">
      <x:c r="A105" s="1" t="s">
        <x:v>20</x:v>
      </x:c>
      <x:c r="B105" s="2" t="s">
        <x:v>20</x:v>
      </x:c>
      <x:c r="C105" s="2" t="s">
        <x:v>20</x:v>
      </x:c>
      <x:c r="D105" s="1" t="s">
        <x:v>20</x:v>
      </x:c>
      <x:c r="E105" s="1" t="s">
        <x:v>20</x:v>
      </x:c>
      <x:c r="F105" s="1" t="s">
        <x:v>30</x:v>
      </x:c>
      <x:c r="G105" s="1" t="s">
        <x:v>20</x:v>
      </x:c>
      <x:c r="H105" s="1" t="s">
        <x:v>110</x:v>
      </x:c>
      <x:c r="I105" s="1" t="s">
        <x:v>20</x:v>
      </x:c>
      <x:c r="J105" s="1" t="s">
        <x:v>20</x:v>
      </x:c>
      <x:c r="K105" s="1" t="s">
        <x:v>20</x:v>
      </x:c>
      <x:c r="L105" s="1" t="s">
        <x:v>20</x:v>
      </x:c>
      <x:c r="M105" s="1" t="s">
        <x:v>20</x:v>
      </x:c>
      <x:c r="N105" s="1" t="s">
        <x:v>20</x:v>
      </x:c>
      <x:c r="O105" s="1" t="s">
        <x:v>20</x:v>
      </x:c>
      <x:c r="P105" s="1" t="s">
        <x:v>20</x:v>
      </x:c>
      <x:c r="Q105" s="1" t="s">
        <x:v>20</x:v>
      </x:c>
    </x:row>
    <x:row r="106" spans="1:17">
      <x:c r="A106" s="1" t="s">
        <x:v>111</x:v>
      </x:c>
      <x:c r="B106" s="2" t="s">
        <x:v>77</x:v>
      </x:c>
      <x:c r="C106" s="2">
        <x:f>HYPERLINK("https://team-w7jm.testit.software/projects/1/tests/143", "Запрос бронирования по параметрам firsname и значение введем на кириллице")</x:f>
      </x:c>
      <x:c r="D106" s="1" t="s">
        <x:v>19</x:v>
      </x:c>
      <x:c r="E106" s="1" t="s">
        <x:v>20</x:v>
      </x:c>
      <x:c r="F106" s="1" t="s">
        <x:v>20</x:v>
      </x:c>
      <x:c r="G106" s="1" t="s">
        <x:v>20</x:v>
      </x:c>
      <x:c r="H106" s="1" t="s">
        <x:v>20</x:v>
      </x:c>
      <x:c r="I106" s="1" t="s">
        <x:v>20</x:v>
      </x:c>
      <x:c r="J106" s="1" t="s">
        <x:v>20</x:v>
      </x:c>
      <x:c r="K106" s="1" t="s">
        <x:v>20</x:v>
      </x:c>
      <x:c r="L106" s="1" t="s">
        <x:v>21</x:v>
      </x:c>
      <x:c r="M106" s="1" t="s">
        <x:v>22</x:v>
      </x:c>
      <x:c r="N106" s="1" t="s">
        <x:v>112</x:v>
      </x:c>
      <x:c r="O106" s="1" t="s">
        <x:v>24</x:v>
      </x:c>
      <x:c r="P106" s="1" t="s">
        <x:v>25</x:v>
      </x:c>
      <x:c r="Q106" s="1" t="s">
        <x:v>94</x:v>
      </x:c>
    </x:row>
    <x:row r="107" spans="1:17">
      <x:c r="A107" s="1" t="s">
        <x:v>20</x:v>
      </x:c>
      <x:c r="B107" s="2" t="s">
        <x:v>20</x:v>
      </x:c>
      <x:c r="C107" s="2" t="s">
        <x:v>20</x:v>
      </x:c>
      <x:c r="D107" s="1" t="s">
        <x:v>20</x:v>
      </x:c>
      <x:c r="E107" s="1" t="s">
        <x:v>26</x:v>
      </x:c>
      <x:c r="F107" s="1" t="s">
        <x:v>20</x:v>
      </x:c>
      <x:c r="G107" s="1" t="s">
        <x:v>20</x:v>
      </x:c>
      <x:c r="H107" s="1" t="s">
        <x:v>27</x:v>
      </x:c>
      <x:c r="I107" s="1" t="s">
        <x:v>20</x:v>
      </x:c>
      <x:c r="J107" s="1" t="s">
        <x:v>20</x:v>
      </x:c>
      <x:c r="K107" s="1" t="s">
        <x:v>20</x:v>
      </x:c>
      <x:c r="L107" s="1" t="s">
        <x:v>20</x:v>
      </x:c>
      <x:c r="M107" s="1" t="s">
        <x:v>20</x:v>
      </x:c>
      <x:c r="N107" s="1" t="s">
        <x:v>20</x:v>
      </x:c>
      <x:c r="O107" s="1" t="s">
        <x:v>20</x:v>
      </x:c>
      <x:c r="P107" s="1" t="s">
        <x:v>20</x:v>
      </x:c>
      <x:c r="Q107" s="1" t="s">
        <x:v>20</x:v>
      </x:c>
    </x:row>
    <x:row r="108" spans="1:17">
      <x:c r="A108" s="1" t="s">
        <x:v>20</x:v>
      </x:c>
      <x:c r="B108" s="2" t="s">
        <x:v>20</x:v>
      </x:c>
      <x:c r="C108" s="2" t="s">
        <x:v>20</x:v>
      </x:c>
      <x:c r="D108" s="1" t="s">
        <x:v>20</x:v>
      </x:c>
      <x:c r="E108" s="1" t="s">
        <x:v>20</x:v>
      </x:c>
      <x:c r="F108" s="2" t="s">
        <x:v>113</x:v>
      </x:c>
      <x:c r="G108" s="1" t="s">
        <x:v>20</x:v>
      </x:c>
      <x:c r="H108" s="1" t="s">
        <x:v>29</x:v>
      </x:c>
      <x:c r="I108" s="1" t="s">
        <x:v>20</x:v>
      </x:c>
      <x:c r="J108" s="1" t="s">
        <x:v>20</x:v>
      </x:c>
      <x:c r="K108" s="1" t="s">
        <x:v>20</x:v>
      </x:c>
      <x:c r="L108" s="1" t="s">
        <x:v>20</x:v>
      </x:c>
      <x:c r="M108" s="1" t="s">
        <x:v>20</x:v>
      </x:c>
      <x:c r="N108" s="1" t="s">
        <x:v>20</x:v>
      </x:c>
      <x:c r="O108" s="1" t="s">
        <x:v>20</x:v>
      </x:c>
      <x:c r="P108" s="1" t="s">
        <x:v>20</x:v>
      </x:c>
      <x:c r="Q108" s="1" t="s">
        <x:v>20</x:v>
      </x:c>
    </x:row>
    <x:row r="109" spans="1:17">
      <x:c r="A109" s="1" t="s">
        <x:v>20</x:v>
      </x:c>
      <x:c r="B109" s="2" t="s">
        <x:v>20</x:v>
      </x:c>
      <x:c r="C109" s="2" t="s">
        <x:v>20</x:v>
      </x:c>
      <x:c r="D109" s="1" t="s">
        <x:v>20</x:v>
      </x:c>
      <x:c r="E109" s="1" t="s">
        <x:v>20</x:v>
      </x:c>
      <x:c r="F109" s="1" t="s">
        <x:v>30</x:v>
      </x:c>
      <x:c r="G109" s="1" t="s">
        <x:v>20</x:v>
      </x:c>
      <x:c r="H109" s="1" t="s">
        <x:v>114</x:v>
      </x:c>
      <x:c r="I109" s="1" t="s">
        <x:v>20</x:v>
      </x:c>
      <x:c r="J109" s="1" t="s">
        <x:v>20</x:v>
      </x:c>
      <x:c r="K109" s="1" t="s">
        <x:v>20</x:v>
      </x:c>
      <x:c r="L109" s="1" t="s">
        <x:v>20</x:v>
      </x:c>
      <x:c r="M109" s="1" t="s">
        <x:v>20</x:v>
      </x:c>
      <x:c r="N109" s="1" t="s">
        <x:v>20</x:v>
      </x:c>
      <x:c r="O109" s="1" t="s">
        <x:v>20</x:v>
      </x:c>
      <x:c r="P109" s="1" t="s">
        <x:v>20</x:v>
      </x:c>
      <x:c r="Q109" s="1" t="s">
        <x:v>20</x:v>
      </x:c>
    </x:row>
    <x:row r="110" spans="1:17">
      <x:c r="A110" s="1" t="s">
        <x:v>115</x:v>
      </x:c>
      <x:c r="B110" s="2" t="s">
        <x:v>77</x:v>
      </x:c>
      <x:c r="C110" s="2">
        <x:f>HYPERLINK("https://team-w7jm.testit.software/projects/1/tests/144", "Запрос бронирований по параметрам firsname и значение введем в нижнем регистре")</x:f>
      </x:c>
      <x:c r="D110" s="1" t="s">
        <x:v>19</x:v>
      </x:c>
      <x:c r="E110" s="1" t="s">
        <x:v>20</x:v>
      </x:c>
      <x:c r="F110" s="1" t="s">
        <x:v>20</x:v>
      </x:c>
      <x:c r="G110" s="1" t="s">
        <x:v>20</x:v>
      </x:c>
      <x:c r="H110" s="1" t="s">
        <x:v>20</x:v>
      </x:c>
      <x:c r="I110" s="1" t="s">
        <x:v>20</x:v>
      </x:c>
      <x:c r="J110" s="1" t="s">
        <x:v>20</x:v>
      </x:c>
      <x:c r="K110" s="1" t="s">
        <x:v>20</x:v>
      </x:c>
      <x:c r="L110" s="1" t="s">
        <x:v>21</x:v>
      </x:c>
      <x:c r="M110" s="1" t="s">
        <x:v>22</x:v>
      </x:c>
      <x:c r="N110" s="1" t="s">
        <x:v>116</x:v>
      </x:c>
      <x:c r="O110" s="1" t="s">
        <x:v>24</x:v>
      </x:c>
      <x:c r="P110" s="1" t="s">
        <x:v>25</x:v>
      </x:c>
      <x:c r="Q110" s="1" t="s">
        <x:v>94</x:v>
      </x:c>
    </x:row>
    <x:row r="111" spans="1:17">
      <x:c r="A111" s="1" t="s">
        <x:v>20</x:v>
      </x:c>
      <x:c r="B111" s="2" t="s">
        <x:v>20</x:v>
      </x:c>
      <x:c r="C111" s="2" t="s">
        <x:v>20</x:v>
      </x:c>
      <x:c r="D111" s="1" t="s">
        <x:v>20</x:v>
      </x:c>
      <x:c r="E111" s="1" t="s">
        <x:v>26</x:v>
      </x:c>
      <x:c r="F111" s="1" t="s">
        <x:v>20</x:v>
      </x:c>
      <x:c r="G111" s="1" t="s">
        <x:v>20</x:v>
      </x:c>
      <x:c r="H111" s="1" t="s">
        <x:v>27</x:v>
      </x:c>
      <x:c r="I111" s="1" t="s">
        <x:v>20</x:v>
      </x:c>
      <x:c r="J111" s="1" t="s">
        <x:v>20</x:v>
      </x:c>
      <x:c r="K111" s="1" t="s">
        <x:v>20</x:v>
      </x:c>
      <x:c r="L111" s="1" t="s">
        <x:v>20</x:v>
      </x:c>
      <x:c r="M111" s="1" t="s">
        <x:v>20</x:v>
      </x:c>
      <x:c r="N111" s="1" t="s">
        <x:v>20</x:v>
      </x:c>
      <x:c r="O111" s="1" t="s">
        <x:v>20</x:v>
      </x:c>
      <x:c r="P111" s="1" t="s">
        <x:v>20</x:v>
      </x:c>
      <x:c r="Q111" s="1" t="s">
        <x:v>20</x:v>
      </x:c>
    </x:row>
    <x:row r="112" spans="1:17">
      <x:c r="A112" s="1" t="s">
        <x:v>20</x:v>
      </x:c>
      <x:c r="B112" s="2" t="s">
        <x:v>20</x:v>
      </x:c>
      <x:c r="C112" s="2" t="s">
        <x:v>20</x:v>
      </x:c>
      <x:c r="D112" s="1" t="s">
        <x:v>20</x:v>
      </x:c>
      <x:c r="E112" s="1" t="s">
        <x:v>20</x:v>
      </x:c>
      <x:c r="F112" s="2" t="s">
        <x:v>117</x:v>
      </x:c>
      <x:c r="G112" s="1" t="s">
        <x:v>20</x:v>
      </x:c>
      <x:c r="H112" s="1" t="s">
        <x:v>29</x:v>
      </x:c>
      <x:c r="I112" s="1" t="s">
        <x:v>20</x:v>
      </x:c>
      <x:c r="J112" s="1" t="s">
        <x:v>20</x:v>
      </x:c>
      <x:c r="K112" s="1" t="s">
        <x:v>20</x:v>
      </x:c>
      <x:c r="L112" s="1" t="s">
        <x:v>20</x:v>
      </x:c>
      <x:c r="M112" s="1" t="s">
        <x:v>20</x:v>
      </x:c>
      <x:c r="N112" s="1" t="s">
        <x:v>20</x:v>
      </x:c>
      <x:c r="O112" s="1" t="s">
        <x:v>20</x:v>
      </x:c>
      <x:c r="P112" s="1" t="s">
        <x:v>20</x:v>
      </x:c>
      <x:c r="Q112" s="1" t="s">
        <x:v>20</x:v>
      </x:c>
    </x:row>
    <x:row r="113" spans="1:17">
      <x:c r="A113" s="1" t="s">
        <x:v>20</x:v>
      </x:c>
      <x:c r="B113" s="2" t="s">
        <x:v>20</x:v>
      </x:c>
      <x:c r="C113" s="2" t="s">
        <x:v>20</x:v>
      </x:c>
      <x:c r="D113" s="1" t="s">
        <x:v>20</x:v>
      </x:c>
      <x:c r="E113" s="1" t="s">
        <x:v>20</x:v>
      </x:c>
      <x:c r="F113" s="1" t="s">
        <x:v>30</x:v>
      </x:c>
      <x:c r="G113" s="1" t="s">
        <x:v>20</x:v>
      </x:c>
      <x:c r="H113" s="1" t="s">
        <x:v>110</x:v>
      </x:c>
      <x:c r="I113" s="1" t="s">
        <x:v>20</x:v>
      </x:c>
      <x:c r="J113" s="1" t="s">
        <x:v>20</x:v>
      </x:c>
      <x:c r="K113" s="1" t="s">
        <x:v>20</x:v>
      </x:c>
      <x:c r="L113" s="1" t="s">
        <x:v>20</x:v>
      </x:c>
      <x:c r="M113" s="1" t="s">
        <x:v>20</x:v>
      </x:c>
      <x:c r="N113" s="1" t="s">
        <x:v>20</x:v>
      </x:c>
      <x:c r="O113" s="1" t="s">
        <x:v>20</x:v>
      </x:c>
      <x:c r="P113" s="1" t="s">
        <x:v>20</x:v>
      </x:c>
      <x:c r="Q113" s="1" t="s">
        <x:v>20</x:v>
      </x:c>
    </x:row>
    <x:row r="114" spans="1:17">
      <x:c r="A114" s="1" t="s">
        <x:v>118</x:v>
      </x:c>
      <x:c r="B114" s="2" t="s">
        <x:v>77</x:v>
      </x:c>
      <x:c r="C114" s="2">
        <x:f>HYPERLINK("https://team-w7jm.testit.software/projects/1/tests/145", "Запрос по параметрам firsname defoult and lastname на кириллице")</x:f>
      </x:c>
      <x:c r="D114" s="1" t="s">
        <x:v>19</x:v>
      </x:c>
      <x:c r="E114" s="1" t="s">
        <x:v>20</x:v>
      </x:c>
      <x:c r="F114" s="1" t="s">
        <x:v>20</x:v>
      </x:c>
      <x:c r="G114" s="1" t="s">
        <x:v>20</x:v>
      </x:c>
      <x:c r="H114" s="1" t="s">
        <x:v>20</x:v>
      </x:c>
      <x:c r="I114" s="1" t="s">
        <x:v>20</x:v>
      </x:c>
      <x:c r="J114" s="1" t="s">
        <x:v>20</x:v>
      </x:c>
      <x:c r="K114" s="1" t="s">
        <x:v>20</x:v>
      </x:c>
      <x:c r="L114" s="1" t="s">
        <x:v>21</x:v>
      </x:c>
      <x:c r="M114" s="1" t="s">
        <x:v>22</x:v>
      </x:c>
      <x:c r="N114" s="1" t="s">
        <x:v>119</x:v>
      </x:c>
      <x:c r="O114" s="1" t="s">
        <x:v>24</x:v>
      </x:c>
      <x:c r="P114" s="1" t="s">
        <x:v>25</x:v>
      </x:c>
      <x:c r="Q114" s="1" t="s">
        <x:v>94</x:v>
      </x:c>
    </x:row>
    <x:row r="115" spans="1:17">
      <x:c r="A115" s="1" t="s">
        <x:v>20</x:v>
      </x:c>
      <x:c r="B115" s="2" t="s">
        <x:v>20</x:v>
      </x:c>
      <x:c r="C115" s="2" t="s">
        <x:v>20</x:v>
      </x:c>
      <x:c r="D115" s="1" t="s">
        <x:v>20</x:v>
      </x:c>
      <x:c r="E115" s="1" t="s">
        <x:v>26</x:v>
      </x:c>
      <x:c r="F115" s="1" t="s">
        <x:v>20</x:v>
      </x:c>
      <x:c r="G115" s="1" t="s">
        <x:v>20</x:v>
      </x:c>
      <x:c r="H115" s="1" t="s">
        <x:v>27</x:v>
      </x:c>
      <x:c r="I115" s="1" t="s">
        <x:v>20</x:v>
      </x:c>
      <x:c r="J115" s="1" t="s">
        <x:v>20</x:v>
      </x:c>
      <x:c r="K115" s="1" t="s">
        <x:v>20</x:v>
      </x:c>
      <x:c r="L115" s="1" t="s">
        <x:v>20</x:v>
      </x:c>
      <x:c r="M115" s="1" t="s">
        <x:v>20</x:v>
      </x:c>
      <x:c r="N115" s="1" t="s">
        <x:v>20</x:v>
      </x:c>
      <x:c r="O115" s="1" t="s">
        <x:v>20</x:v>
      </x:c>
      <x:c r="P115" s="1" t="s">
        <x:v>20</x:v>
      </x:c>
      <x:c r="Q115" s="1" t="s">
        <x:v>20</x:v>
      </x:c>
    </x:row>
    <x:row r="116" spans="1:17">
      <x:c r="A116" s="1" t="s">
        <x:v>20</x:v>
      </x:c>
      <x:c r="B116" s="2" t="s">
        <x:v>20</x:v>
      </x:c>
      <x:c r="C116" s="2" t="s">
        <x:v>20</x:v>
      </x:c>
      <x:c r="D116" s="1" t="s">
        <x:v>20</x:v>
      </x:c>
      <x:c r="E116" s="1" t="s">
        <x:v>20</x:v>
      </x:c>
      <x:c r="F116" s="2" t="s">
        <x:v>120</x:v>
      </x:c>
      <x:c r="G116" s="1" t="s">
        <x:v>20</x:v>
      </x:c>
      <x:c r="H116" s="1" t="s">
        <x:v>29</x:v>
      </x:c>
      <x:c r="I116" s="1" t="s">
        <x:v>20</x:v>
      </x:c>
      <x:c r="J116" s="1" t="s">
        <x:v>20</x:v>
      </x:c>
      <x:c r="K116" s="1" t="s">
        <x:v>20</x:v>
      </x:c>
      <x:c r="L116" s="1" t="s">
        <x:v>20</x:v>
      </x:c>
      <x:c r="M116" s="1" t="s">
        <x:v>20</x:v>
      </x:c>
      <x:c r="N116" s="1" t="s">
        <x:v>20</x:v>
      </x:c>
      <x:c r="O116" s="1" t="s">
        <x:v>20</x:v>
      </x:c>
      <x:c r="P116" s="1" t="s">
        <x:v>20</x:v>
      </x:c>
      <x:c r="Q116" s="1" t="s">
        <x:v>20</x:v>
      </x:c>
    </x:row>
    <x:row r="117" spans="1:17">
      <x:c r="A117" s="1" t="s">
        <x:v>20</x:v>
      </x:c>
      <x:c r="B117" s="2" t="s">
        <x:v>20</x:v>
      </x:c>
      <x:c r="C117" s="2" t="s">
        <x:v>20</x:v>
      </x:c>
      <x:c r="D117" s="1" t="s">
        <x:v>20</x:v>
      </x:c>
      <x:c r="E117" s="1" t="s">
        <x:v>20</x:v>
      </x:c>
      <x:c r="F117" s="1" t="s">
        <x:v>30</x:v>
      </x:c>
      <x:c r="G117" s="1" t="s">
        <x:v>20</x:v>
      </x:c>
      <x:c r="H117" s="1" t="s">
        <x:v>96</x:v>
      </x:c>
      <x:c r="I117" s="1" t="s">
        <x:v>20</x:v>
      </x:c>
      <x:c r="J117" s="1" t="s">
        <x:v>20</x:v>
      </x:c>
      <x:c r="K117" s="1" t="s">
        <x:v>20</x:v>
      </x:c>
      <x:c r="L117" s="1" t="s">
        <x:v>20</x:v>
      </x:c>
      <x:c r="M117" s="1" t="s">
        <x:v>20</x:v>
      </x:c>
      <x:c r="N117" s="1" t="s">
        <x:v>20</x:v>
      </x:c>
      <x:c r="O117" s="1" t="s">
        <x:v>20</x:v>
      </x:c>
      <x:c r="P117" s="1" t="s">
        <x:v>20</x:v>
      </x:c>
      <x:c r="Q117" s="1" t="s">
        <x:v>20</x:v>
      </x:c>
    </x:row>
    <x:row r="118" spans="1:17">
      <x:c r="A118" s="1" t="s">
        <x:v>121</x:v>
      </x:c>
      <x:c r="B118" s="2" t="s">
        <x:v>77</x:v>
      </x:c>
      <x:c r="C118" s="2">
        <x:f>HYPERLINK("https://team-w7jm.testit.software/projects/1/tests/146", "Запрос бронирования по параметрам firsname на кириллице and lastname defoult")</x:f>
      </x:c>
      <x:c r="D118" s="1" t="s">
        <x:v>19</x:v>
      </x:c>
      <x:c r="E118" s="1" t="s">
        <x:v>20</x:v>
      </x:c>
      <x:c r="F118" s="1" t="s">
        <x:v>20</x:v>
      </x:c>
      <x:c r="G118" s="1" t="s">
        <x:v>20</x:v>
      </x:c>
      <x:c r="H118" s="1" t="s">
        <x:v>20</x:v>
      </x:c>
      <x:c r="I118" s="1" t="s">
        <x:v>20</x:v>
      </x:c>
      <x:c r="J118" s="1" t="s">
        <x:v>20</x:v>
      </x:c>
      <x:c r="K118" s="1" t="s">
        <x:v>20</x:v>
      </x:c>
      <x:c r="L118" s="1" t="s">
        <x:v>21</x:v>
      </x:c>
      <x:c r="M118" s="1" t="s">
        <x:v>22</x:v>
      </x:c>
      <x:c r="N118" s="1" t="s">
        <x:v>122</x:v>
      </x:c>
      <x:c r="O118" s="1" t="s">
        <x:v>24</x:v>
      </x:c>
      <x:c r="P118" s="1" t="s">
        <x:v>25</x:v>
      </x:c>
      <x:c r="Q118" s="1" t="s">
        <x:v>94</x:v>
      </x:c>
    </x:row>
    <x:row r="119" spans="1:17">
      <x:c r="A119" s="1" t="s">
        <x:v>20</x:v>
      </x:c>
      <x:c r="B119" s="2" t="s">
        <x:v>20</x:v>
      </x:c>
      <x:c r="C119" s="2" t="s">
        <x:v>20</x:v>
      </x:c>
      <x:c r="D119" s="1" t="s">
        <x:v>20</x:v>
      </x:c>
      <x:c r="E119" s="1" t="s">
        <x:v>26</x:v>
      </x:c>
      <x:c r="F119" s="1" t="s">
        <x:v>20</x:v>
      </x:c>
      <x:c r="G119" s="1" t="s">
        <x:v>20</x:v>
      </x:c>
      <x:c r="H119" s="1" t="s">
        <x:v>27</x:v>
      </x:c>
      <x:c r="I119" s="1" t="s">
        <x:v>20</x:v>
      </x:c>
      <x:c r="J119" s="1" t="s">
        <x:v>20</x:v>
      </x:c>
      <x:c r="K119" s="1" t="s">
        <x:v>20</x:v>
      </x:c>
      <x:c r="L119" s="1" t="s">
        <x:v>20</x:v>
      </x:c>
      <x:c r="M119" s="1" t="s">
        <x:v>20</x:v>
      </x:c>
      <x:c r="N119" s="1" t="s">
        <x:v>20</x:v>
      </x:c>
      <x:c r="O119" s="1" t="s">
        <x:v>20</x:v>
      </x:c>
      <x:c r="P119" s="1" t="s">
        <x:v>20</x:v>
      </x:c>
      <x:c r="Q119" s="1" t="s">
        <x:v>20</x:v>
      </x:c>
    </x:row>
    <x:row r="120" spans="1:17">
      <x:c r="A120" s="1" t="s">
        <x:v>20</x:v>
      </x:c>
      <x:c r="B120" s="2" t="s">
        <x:v>20</x:v>
      </x:c>
      <x:c r="C120" s="2" t="s">
        <x:v>20</x:v>
      </x:c>
      <x:c r="D120" s="1" t="s">
        <x:v>20</x:v>
      </x:c>
      <x:c r="E120" s="1" t="s">
        <x:v>20</x:v>
      </x:c>
      <x:c r="F120" s="2" t="s">
        <x:v>123</x:v>
      </x:c>
      <x:c r="G120" s="1" t="s">
        <x:v>20</x:v>
      </x:c>
      <x:c r="H120" s="1" t="s">
        <x:v>29</x:v>
      </x:c>
      <x:c r="I120" s="1" t="s">
        <x:v>20</x:v>
      </x:c>
      <x:c r="J120" s="1" t="s">
        <x:v>20</x:v>
      </x:c>
      <x:c r="K120" s="1" t="s">
        <x:v>20</x:v>
      </x:c>
      <x:c r="L120" s="1" t="s">
        <x:v>20</x:v>
      </x:c>
      <x:c r="M120" s="1" t="s">
        <x:v>20</x:v>
      </x:c>
      <x:c r="N120" s="1" t="s">
        <x:v>20</x:v>
      </x:c>
      <x:c r="O120" s="1" t="s">
        <x:v>20</x:v>
      </x:c>
      <x:c r="P120" s="1" t="s">
        <x:v>20</x:v>
      </x:c>
      <x:c r="Q120" s="1" t="s">
        <x:v>20</x:v>
      </x:c>
    </x:row>
    <x:row r="121" spans="1:17">
      <x:c r="A121" s="1" t="s">
        <x:v>20</x:v>
      </x:c>
      <x:c r="B121" s="2" t="s">
        <x:v>20</x:v>
      </x:c>
      <x:c r="C121" s="2" t="s">
        <x:v>20</x:v>
      </x:c>
      <x:c r="D121" s="1" t="s">
        <x:v>20</x:v>
      </x:c>
      <x:c r="E121" s="1" t="s">
        <x:v>20</x:v>
      </x:c>
      <x:c r="F121" s="1" t="s">
        <x:v>30</x:v>
      </x:c>
      <x:c r="G121" s="1" t="s">
        <x:v>20</x:v>
      </x:c>
      <x:c r="H121" s="1" t="s">
        <x:v>96</x:v>
      </x:c>
      <x:c r="I121" s="1" t="s">
        <x:v>20</x:v>
      </x:c>
      <x:c r="J121" s="1" t="s">
        <x:v>20</x:v>
      </x:c>
      <x:c r="K121" s="1" t="s">
        <x:v>20</x:v>
      </x:c>
      <x:c r="L121" s="1" t="s">
        <x:v>20</x:v>
      </x:c>
      <x:c r="M121" s="1" t="s">
        <x:v>20</x:v>
      </x:c>
      <x:c r="N121" s="1" t="s">
        <x:v>20</x:v>
      </x:c>
      <x:c r="O121" s="1" t="s">
        <x:v>20</x:v>
      </x:c>
      <x:c r="P121" s="1" t="s">
        <x:v>20</x:v>
      </x:c>
      <x:c r="Q121" s="1" t="s">
        <x:v>20</x:v>
      </x:c>
    </x:row>
    <x:row r="122" spans="1:17">
      <x:c r="A122" s="1" t="s">
        <x:v>124</x:v>
      </x:c>
      <x:c r="B122" s="2" t="s">
        <x:v>77</x:v>
      </x:c>
      <x:c r="C122" s="2">
        <x:f>HYPERLINK("https://team-w7jm.testit.software/projects/1/tests/147", "Запрос бронирований по параметрам firsname and lastname ввести в значении цифры")</x:f>
      </x:c>
      <x:c r="D122" s="1" t="s">
        <x:v>19</x:v>
      </x:c>
      <x:c r="E122" s="1" t="s">
        <x:v>20</x:v>
      </x:c>
      <x:c r="F122" s="1" t="s">
        <x:v>20</x:v>
      </x:c>
      <x:c r="G122" s="1" t="s">
        <x:v>20</x:v>
      </x:c>
      <x:c r="H122" s="1" t="s">
        <x:v>20</x:v>
      </x:c>
      <x:c r="I122" s="1" t="s">
        <x:v>20</x:v>
      </x:c>
      <x:c r="J122" s="1" t="s">
        <x:v>20</x:v>
      </x:c>
      <x:c r="K122" s="1" t="s">
        <x:v>20</x:v>
      </x:c>
      <x:c r="L122" s="1" t="s">
        <x:v>21</x:v>
      </x:c>
      <x:c r="M122" s="1" t="s">
        <x:v>22</x:v>
      </x:c>
      <x:c r="N122" s="1" t="s">
        <x:v>125</x:v>
      </x:c>
      <x:c r="O122" s="1" t="s">
        <x:v>24</x:v>
      </x:c>
      <x:c r="P122" s="1" t="s">
        <x:v>25</x:v>
      </x:c>
      <x:c r="Q122" s="1" t="s">
        <x:v>94</x:v>
      </x:c>
    </x:row>
    <x:row r="123" spans="1:17">
      <x:c r="A123" s="1" t="s">
        <x:v>20</x:v>
      </x:c>
      <x:c r="B123" s="2" t="s">
        <x:v>20</x:v>
      </x:c>
      <x:c r="C123" s="2" t="s">
        <x:v>20</x:v>
      </x:c>
      <x:c r="D123" s="1" t="s">
        <x:v>20</x:v>
      </x:c>
      <x:c r="E123" s="1" t="s">
        <x:v>26</x:v>
      </x:c>
      <x:c r="F123" s="1" t="s">
        <x:v>20</x:v>
      </x:c>
      <x:c r="G123" s="1" t="s">
        <x:v>20</x:v>
      </x:c>
      <x:c r="H123" s="1" t="s">
        <x:v>27</x:v>
      </x:c>
      <x:c r="I123" s="1" t="s">
        <x:v>20</x:v>
      </x:c>
      <x:c r="J123" s="1" t="s">
        <x:v>20</x:v>
      </x:c>
      <x:c r="K123" s="1" t="s">
        <x:v>20</x:v>
      </x:c>
      <x:c r="L123" s="1" t="s">
        <x:v>20</x:v>
      </x:c>
      <x:c r="M123" s="1" t="s">
        <x:v>20</x:v>
      </x:c>
      <x:c r="N123" s="1" t="s">
        <x:v>20</x:v>
      </x:c>
      <x:c r="O123" s="1" t="s">
        <x:v>20</x:v>
      </x:c>
      <x:c r="P123" s="1" t="s">
        <x:v>20</x:v>
      </x:c>
      <x:c r="Q123" s="1" t="s">
        <x:v>20</x:v>
      </x:c>
    </x:row>
    <x:row r="124" spans="1:17">
      <x:c r="A124" s="1" t="s">
        <x:v>20</x:v>
      </x:c>
      <x:c r="B124" s="2" t="s">
        <x:v>20</x:v>
      </x:c>
      <x:c r="C124" s="2" t="s">
        <x:v>20</x:v>
      </x:c>
      <x:c r="D124" s="1" t="s">
        <x:v>20</x:v>
      </x:c>
      <x:c r="E124" s="1" t="s">
        <x:v>20</x:v>
      </x:c>
      <x:c r="F124" s="2" t="s">
        <x:v>126</x:v>
      </x:c>
      <x:c r="G124" s="1" t="s">
        <x:v>20</x:v>
      </x:c>
      <x:c r="H124" s="1" t="s">
        <x:v>29</x:v>
      </x:c>
      <x:c r="I124" s="1" t="s">
        <x:v>20</x:v>
      </x:c>
      <x:c r="J124" s="1" t="s">
        <x:v>20</x:v>
      </x:c>
      <x:c r="K124" s="1" t="s">
        <x:v>20</x:v>
      </x:c>
      <x:c r="L124" s="1" t="s">
        <x:v>20</x:v>
      </x:c>
      <x:c r="M124" s="1" t="s">
        <x:v>20</x:v>
      </x:c>
      <x:c r="N124" s="1" t="s">
        <x:v>20</x:v>
      </x:c>
      <x:c r="O124" s="1" t="s">
        <x:v>20</x:v>
      </x:c>
      <x:c r="P124" s="1" t="s">
        <x:v>20</x:v>
      </x:c>
      <x:c r="Q124" s="1" t="s">
        <x:v>20</x:v>
      </x:c>
    </x:row>
    <x:row r="125" spans="1:17">
      <x:c r="A125" s="1" t="s">
        <x:v>20</x:v>
      </x:c>
      <x:c r="B125" s="2" t="s">
        <x:v>20</x:v>
      </x:c>
      <x:c r="C125" s="2" t="s">
        <x:v>20</x:v>
      </x:c>
      <x:c r="D125" s="1" t="s">
        <x:v>20</x:v>
      </x:c>
      <x:c r="E125" s="1" t="s">
        <x:v>20</x:v>
      </x:c>
      <x:c r="F125" s="1" t="s">
        <x:v>30</x:v>
      </x:c>
      <x:c r="G125" s="1" t="s">
        <x:v>20</x:v>
      </x:c>
      <x:c r="H125" s="1" t="s">
        <x:v>110</x:v>
      </x:c>
      <x:c r="I125" s="1" t="s">
        <x:v>20</x:v>
      </x:c>
      <x:c r="J125" s="1" t="s">
        <x:v>20</x:v>
      </x:c>
      <x:c r="K125" s="1" t="s">
        <x:v>20</x:v>
      </x:c>
      <x:c r="L125" s="1" t="s">
        <x:v>20</x:v>
      </x:c>
      <x:c r="M125" s="1" t="s">
        <x:v>20</x:v>
      </x:c>
      <x:c r="N125" s="1" t="s">
        <x:v>20</x:v>
      </x:c>
      <x:c r="O125" s="1" t="s">
        <x:v>20</x:v>
      </x:c>
      <x:c r="P125" s="1" t="s">
        <x:v>20</x:v>
      </x:c>
      <x:c r="Q125" s="1" t="s">
        <x:v>20</x:v>
      </x:c>
    </x:row>
    <x:row r="126" spans="1:17">
      <x:c r="A126" s="1" t="s">
        <x:v>127</x:v>
      </x:c>
      <x:c r="B126" s="2" t="s">
        <x:v>77</x:v>
      </x:c>
      <x:c r="C126" s="2">
        <x:f>HYPERLINK("https://team-w7jm.testit.software/projects/1/tests/148", "Запрос ID бронирования по параметрам checkin/checkout корректные данные")</x:f>
      </x:c>
      <x:c r="D126" s="1" t="s">
        <x:v>19</x:v>
      </x:c>
      <x:c r="E126" s="1" t="s">
        <x:v>20</x:v>
      </x:c>
      <x:c r="F126" s="1" t="s">
        <x:v>20</x:v>
      </x:c>
      <x:c r="G126" s="1" t="s">
        <x:v>20</x:v>
      </x:c>
      <x:c r="H126" s="1" t="s">
        <x:v>20</x:v>
      </x:c>
      <x:c r="I126" s="1" t="s">
        <x:v>20</x:v>
      </x:c>
      <x:c r="J126" s="1" t="s">
        <x:v>20</x:v>
      </x:c>
      <x:c r="K126" s="1" t="s">
        <x:v>20</x:v>
      </x:c>
      <x:c r="L126" s="1" t="s">
        <x:v>21</x:v>
      </x:c>
      <x:c r="M126" s="1" t="s">
        <x:v>22</x:v>
      </x:c>
      <x:c r="N126" s="1" t="s">
        <x:v>128</x:v>
      </x:c>
      <x:c r="O126" s="1" t="s">
        <x:v>24</x:v>
      </x:c>
      <x:c r="P126" s="1" t="s">
        <x:v>25</x:v>
      </x:c>
      <x:c r="Q126" s="1" t="s">
        <x:v>129</x:v>
      </x:c>
    </x:row>
    <x:row r="127" spans="1:17">
      <x:c r="A127" s="1" t="s">
        <x:v>20</x:v>
      </x:c>
      <x:c r="B127" s="2" t="s">
        <x:v>20</x:v>
      </x:c>
      <x:c r="C127" s="2" t="s">
        <x:v>20</x:v>
      </x:c>
      <x:c r="D127" s="1" t="s">
        <x:v>20</x:v>
      </x:c>
      <x:c r="E127" s="1" t="s">
        <x:v>26</x:v>
      </x:c>
      <x:c r="F127" s="1" t="s">
        <x:v>20</x:v>
      </x:c>
      <x:c r="G127" s="1" t="s">
        <x:v>20</x:v>
      </x:c>
      <x:c r="H127" s="1" t="s">
        <x:v>27</x:v>
      </x:c>
      <x:c r="I127" s="1" t="s">
        <x:v>20</x:v>
      </x:c>
      <x:c r="J127" s="1" t="s">
        <x:v>20</x:v>
      </x:c>
      <x:c r="K127" s="1" t="s">
        <x:v>20</x:v>
      </x:c>
      <x:c r="L127" s="1" t="s">
        <x:v>20</x:v>
      </x:c>
      <x:c r="M127" s="1" t="s">
        <x:v>20</x:v>
      </x:c>
      <x:c r="N127" s="1" t="s">
        <x:v>20</x:v>
      </x:c>
      <x:c r="O127" s="1" t="s">
        <x:v>20</x:v>
      </x:c>
      <x:c r="P127" s="1" t="s">
        <x:v>20</x:v>
      </x:c>
      <x:c r="Q127" s="1" t="s">
        <x:v>20</x:v>
      </x:c>
    </x:row>
    <x:row r="128" spans="1:17">
      <x:c r="A128" s="1" t="s">
        <x:v>20</x:v>
      </x:c>
      <x:c r="B128" s="2" t="s">
        <x:v>20</x:v>
      </x:c>
      <x:c r="C128" s="2" t="s">
        <x:v>20</x:v>
      </x:c>
      <x:c r="D128" s="1" t="s">
        <x:v>20</x:v>
      </x:c>
      <x:c r="E128" s="1" t="s">
        <x:v>20</x:v>
      </x:c>
      <x:c r="F128" s="2" t="s">
        <x:v>130</x:v>
      </x:c>
      <x:c r="G128" s="1" t="s">
        <x:v>20</x:v>
      </x:c>
      <x:c r="H128" s="1" t="s">
        <x:v>29</x:v>
      </x:c>
      <x:c r="I128" s="1" t="s">
        <x:v>20</x:v>
      </x:c>
      <x:c r="J128" s="1" t="s">
        <x:v>20</x:v>
      </x:c>
      <x:c r="K128" s="1" t="s">
        <x:v>20</x:v>
      </x:c>
      <x:c r="L128" s="1" t="s">
        <x:v>20</x:v>
      </x:c>
      <x:c r="M128" s="1" t="s">
        <x:v>20</x:v>
      </x:c>
      <x:c r="N128" s="1" t="s">
        <x:v>20</x:v>
      </x:c>
      <x:c r="O128" s="1" t="s">
        <x:v>20</x:v>
      </x:c>
      <x:c r="P128" s="1" t="s">
        <x:v>20</x:v>
      </x:c>
      <x:c r="Q128" s="1" t="s">
        <x:v>20</x:v>
      </x:c>
    </x:row>
    <x:row r="129" spans="1:17">
      <x:c r="A129" s="1" t="s">
        <x:v>20</x:v>
      </x:c>
      <x:c r="B129" s="2" t="s">
        <x:v>20</x:v>
      </x:c>
      <x:c r="C129" s="2" t="s">
        <x:v>20</x:v>
      </x:c>
      <x:c r="D129" s="1" t="s">
        <x:v>20</x:v>
      </x:c>
      <x:c r="E129" s="1" t="s">
        <x:v>20</x:v>
      </x:c>
      <x:c r="F129" s="1" t="s">
        <x:v>30</x:v>
      </x:c>
      <x:c r="G129" s="1" t="s">
        <x:v>20</x:v>
      </x:c>
      <x:c r="H129" s="1" t="s">
        <x:v>131</x:v>
      </x:c>
      <x:c r="I129" s="1" t="s">
        <x:v>20</x:v>
      </x:c>
      <x:c r="J129" s="1" t="s">
        <x:v>20</x:v>
      </x:c>
      <x:c r="K129" s="1" t="s">
        <x:v>20</x:v>
      </x:c>
      <x:c r="L129" s="1" t="s">
        <x:v>20</x:v>
      </x:c>
      <x:c r="M129" s="1" t="s">
        <x:v>20</x:v>
      </x:c>
      <x:c r="N129" s="1" t="s">
        <x:v>20</x:v>
      </x:c>
      <x:c r="O129" s="1" t="s">
        <x:v>20</x:v>
      </x:c>
      <x:c r="P129" s="1" t="s">
        <x:v>20</x:v>
      </x:c>
      <x:c r="Q129" s="1" t="s">
        <x:v>20</x:v>
      </x:c>
    </x:row>
    <x:row r="130" spans="1:17">
      <x:c r="A130" s="1" t="s">
        <x:v>132</x:v>
      </x:c>
      <x:c r="B130" s="2" t="s">
        <x:v>77</x:v>
      </x:c>
      <x:c r="C130" s="2">
        <x:f>HYPERLINK("https://team-w7jm.testit.software/projects/1/tests/149", "Запрос ID по параметрам checkin/checkout  внутри указанного диапазона")</x:f>
      </x:c>
      <x:c r="D130" s="1" t="s">
        <x:v>19</x:v>
      </x:c>
      <x:c r="E130" s="1" t="s">
        <x:v>20</x:v>
      </x:c>
      <x:c r="F130" s="1" t="s">
        <x:v>20</x:v>
      </x:c>
      <x:c r="G130" s="1" t="s">
        <x:v>20</x:v>
      </x:c>
      <x:c r="H130" s="1" t="s">
        <x:v>20</x:v>
      </x:c>
      <x:c r="I130" s="1" t="s">
        <x:v>20</x:v>
      </x:c>
      <x:c r="J130" s="1" t="s">
        <x:v>20</x:v>
      </x:c>
      <x:c r="K130" s="1" t="s">
        <x:v>20</x:v>
      </x:c>
      <x:c r="L130" s="1" t="s">
        <x:v>21</x:v>
      </x:c>
      <x:c r="M130" s="1" t="s">
        <x:v>22</x:v>
      </x:c>
      <x:c r="N130" s="1" t="s">
        <x:v>133</x:v>
      </x:c>
      <x:c r="O130" s="1" t="s">
        <x:v>24</x:v>
      </x:c>
      <x:c r="P130" s="1" t="s">
        <x:v>25</x:v>
      </x:c>
      <x:c r="Q130" s="1" t="s">
        <x:v>129</x:v>
      </x:c>
    </x:row>
    <x:row r="131" spans="1:17">
      <x:c r="A131" s="1" t="s">
        <x:v>20</x:v>
      </x:c>
      <x:c r="B131" s="2" t="s">
        <x:v>20</x:v>
      </x:c>
      <x:c r="C131" s="2" t="s">
        <x:v>20</x:v>
      </x:c>
      <x:c r="D131" s="1" t="s">
        <x:v>20</x:v>
      </x:c>
      <x:c r="E131" s="1" t="s">
        <x:v>26</x:v>
      </x:c>
      <x:c r="F131" s="1" t="s">
        <x:v>20</x:v>
      </x:c>
      <x:c r="G131" s="1" t="s">
        <x:v>20</x:v>
      </x:c>
      <x:c r="H131" s="1" t="s">
        <x:v>27</x:v>
      </x:c>
      <x:c r="I131" s="1" t="s">
        <x:v>20</x:v>
      </x:c>
      <x:c r="J131" s="1" t="s">
        <x:v>20</x:v>
      </x:c>
      <x:c r="K131" s="1" t="s">
        <x:v>20</x:v>
      </x:c>
      <x:c r="L131" s="1" t="s">
        <x:v>20</x:v>
      </x:c>
      <x:c r="M131" s="1" t="s">
        <x:v>20</x:v>
      </x:c>
      <x:c r="N131" s="1" t="s">
        <x:v>20</x:v>
      </x:c>
      <x:c r="O131" s="1" t="s">
        <x:v>20</x:v>
      </x:c>
      <x:c r="P131" s="1" t="s">
        <x:v>20</x:v>
      </x:c>
      <x:c r="Q131" s="1" t="s">
        <x:v>20</x:v>
      </x:c>
    </x:row>
    <x:row r="132" spans="1:17">
      <x:c r="A132" s="1" t="s">
        <x:v>20</x:v>
      </x:c>
      <x:c r="B132" s="2" t="s">
        <x:v>20</x:v>
      </x:c>
      <x:c r="C132" s="2" t="s">
        <x:v>20</x:v>
      </x:c>
      <x:c r="D132" s="1" t="s">
        <x:v>20</x:v>
      </x:c>
      <x:c r="E132" s="1" t="s">
        <x:v>20</x:v>
      </x:c>
      <x:c r="F132" s="2" t="s">
        <x:v>130</x:v>
      </x:c>
      <x:c r="G132" s="1" t="s">
        <x:v>20</x:v>
      </x:c>
      <x:c r="H132" s="1" t="s">
        <x:v>29</x:v>
      </x:c>
      <x:c r="I132" s="1" t="s">
        <x:v>20</x:v>
      </x:c>
      <x:c r="J132" s="1" t="s">
        <x:v>20</x:v>
      </x:c>
      <x:c r="K132" s="1" t="s">
        <x:v>20</x:v>
      </x:c>
      <x:c r="L132" s="1" t="s">
        <x:v>20</x:v>
      </x:c>
      <x:c r="M132" s="1" t="s">
        <x:v>20</x:v>
      </x:c>
      <x:c r="N132" s="1" t="s">
        <x:v>20</x:v>
      </x:c>
      <x:c r="O132" s="1" t="s">
        <x:v>20</x:v>
      </x:c>
      <x:c r="P132" s="1" t="s">
        <x:v>20</x:v>
      </x:c>
      <x:c r="Q132" s="1" t="s">
        <x:v>20</x:v>
      </x:c>
    </x:row>
    <x:row r="133" spans="1:17">
      <x:c r="A133" s="1" t="s">
        <x:v>20</x:v>
      </x:c>
      <x:c r="B133" s="2" t="s">
        <x:v>20</x:v>
      </x:c>
      <x:c r="C133" s="2" t="s">
        <x:v>20</x:v>
      </x:c>
      <x:c r="D133" s="1" t="s">
        <x:v>20</x:v>
      </x:c>
      <x:c r="E133" s="1" t="s">
        <x:v>20</x:v>
      </x:c>
      <x:c r="F133" s="1" t="s">
        <x:v>30</x:v>
      </x:c>
      <x:c r="G133" s="1" t="s">
        <x:v>20</x:v>
      </x:c>
      <x:c r="H133" s="1" t="s">
        <x:v>134</x:v>
      </x:c>
      <x:c r="I133" s="1" t="s">
        <x:v>20</x:v>
      </x:c>
      <x:c r="J133" s="1" t="s">
        <x:v>20</x:v>
      </x:c>
      <x:c r="K133" s="1" t="s">
        <x:v>20</x:v>
      </x:c>
      <x:c r="L133" s="1" t="s">
        <x:v>20</x:v>
      </x:c>
      <x:c r="M133" s="1" t="s">
        <x:v>20</x:v>
      </x:c>
      <x:c r="N133" s="1" t="s">
        <x:v>20</x:v>
      </x:c>
      <x:c r="O133" s="1" t="s">
        <x:v>20</x:v>
      </x:c>
      <x:c r="P133" s="1" t="s">
        <x:v>20</x:v>
      </x:c>
      <x:c r="Q133" s="1" t="s">
        <x:v>20</x:v>
      </x:c>
    </x:row>
    <x:row r="134" spans="1:17">
      <x:c r="A134" s="1" t="s">
        <x:v>20</x:v>
      </x:c>
      <x:c r="B134" s="2" t="s">
        <x:v>20</x:v>
      </x:c>
      <x:c r="C134" s="2" t="s">
        <x:v>20</x:v>
      </x:c>
      <x:c r="D134" s="1" t="s">
        <x:v>20</x:v>
      </x:c>
      <x:c r="E134" s="1" t="s">
        <x:v>20</x:v>
      </x:c>
      <x:c r="F134" s="1" t="s">
        <x:v>135</x:v>
      </x:c>
      <x:c r="G134" s="1" t="s">
        <x:v>20</x:v>
      </x:c>
      <x:c r="H134" s="1" t="s">
        <x:v>136</x:v>
      </x:c>
      <x:c r="I134" s="1" t="s">
        <x:v>20</x:v>
      </x:c>
      <x:c r="J134" s="1" t="s">
        <x:v>20</x:v>
      </x:c>
      <x:c r="K134" s="1" t="s">
        <x:v>20</x:v>
      </x:c>
      <x:c r="L134" s="1" t="s">
        <x:v>20</x:v>
      </x:c>
      <x:c r="M134" s="1" t="s">
        <x:v>20</x:v>
      </x:c>
      <x:c r="N134" s="1" t="s">
        <x:v>20</x:v>
      </x:c>
      <x:c r="O134" s="1" t="s">
        <x:v>20</x:v>
      </x:c>
      <x:c r="P134" s="1" t="s">
        <x:v>20</x:v>
      </x:c>
      <x:c r="Q134" s="1" t="s">
        <x:v>20</x:v>
      </x:c>
    </x:row>
    <x:row r="135" spans="1:17">
      <x:c r="A135" s="1" t="s">
        <x:v>20</x:v>
      </x:c>
      <x:c r="B135" s="2" t="s">
        <x:v>20</x:v>
      </x:c>
      <x:c r="C135" s="2" t="s">
        <x:v>20</x:v>
      </x:c>
      <x:c r="D135" s="1" t="s">
        <x:v>20</x:v>
      </x:c>
      <x:c r="E135" s="1" t="s">
        <x:v>20</x:v>
      </x:c>
      <x:c r="F135" s="2" t="s">
        <x:v>137</x:v>
      </x:c>
      <x:c r="G135" s="1" t="s">
        <x:v>20</x:v>
      </x:c>
      <x:c r="H135" s="1" t="s">
        <x:v>138</x:v>
      </x:c>
      <x:c r="I135" s="1" t="s">
        <x:v>20</x:v>
      </x:c>
      <x:c r="J135" s="1" t="s">
        <x:v>20</x:v>
      </x:c>
      <x:c r="K135" s="1" t="s">
        <x:v>20</x:v>
      </x:c>
      <x:c r="L135" s="1" t="s">
        <x:v>20</x:v>
      </x:c>
      <x:c r="M135" s="1" t="s">
        <x:v>20</x:v>
      </x:c>
      <x:c r="N135" s="1" t="s">
        <x:v>20</x:v>
      </x:c>
      <x:c r="O135" s="1" t="s">
        <x:v>20</x:v>
      </x:c>
      <x:c r="P135" s="1" t="s">
        <x:v>20</x:v>
      </x:c>
      <x:c r="Q135" s="1" t="s">
        <x:v>20</x:v>
      </x:c>
    </x:row>
    <x:row r="136" spans="1:17">
      <x:c r="A136" s="1" t="s">
        <x:v>139</x:v>
      </x:c>
      <x:c r="B136" s="2" t="s">
        <x:v>77</x:v>
      </x:c>
      <x:c r="C136" s="2">
        <x:f>HYPERLINK("https://team-w7jm.testit.software/projects/1/tests/150", "Запрос ID бронирования по параметрам checkin корректные данные")</x:f>
      </x:c>
      <x:c r="D136" s="1" t="s">
        <x:v>19</x:v>
      </x:c>
      <x:c r="E136" s="1" t="s">
        <x:v>20</x:v>
      </x:c>
      <x:c r="F136" s="1" t="s">
        <x:v>20</x:v>
      </x:c>
      <x:c r="G136" s="1" t="s">
        <x:v>20</x:v>
      </x:c>
      <x:c r="H136" s="1" t="s">
        <x:v>20</x:v>
      </x:c>
      <x:c r="I136" s="1" t="s">
        <x:v>20</x:v>
      </x:c>
      <x:c r="J136" s="1" t="s">
        <x:v>20</x:v>
      </x:c>
      <x:c r="K136" s="1" t="s">
        <x:v>20</x:v>
      </x:c>
      <x:c r="L136" s="1" t="s">
        <x:v>21</x:v>
      </x:c>
      <x:c r="M136" s="1" t="s">
        <x:v>22</x:v>
      </x:c>
      <x:c r="N136" s="1" t="s">
        <x:v>140</x:v>
      </x:c>
      <x:c r="O136" s="1" t="s">
        <x:v>24</x:v>
      </x:c>
      <x:c r="P136" s="1" t="s">
        <x:v>25</x:v>
      </x:c>
      <x:c r="Q136" s="1" t="s">
        <x:v>129</x:v>
      </x:c>
    </x:row>
    <x:row r="137" spans="1:17">
      <x:c r="A137" s="1" t="s">
        <x:v>20</x:v>
      </x:c>
      <x:c r="B137" s="2" t="s">
        <x:v>20</x:v>
      </x:c>
      <x:c r="C137" s="2" t="s">
        <x:v>20</x:v>
      </x:c>
      <x:c r="D137" s="1" t="s">
        <x:v>20</x:v>
      </x:c>
      <x:c r="E137" s="1" t="s">
        <x:v>26</x:v>
      </x:c>
      <x:c r="F137" s="1" t="s">
        <x:v>20</x:v>
      </x:c>
      <x:c r="G137" s="1" t="s">
        <x:v>20</x:v>
      </x:c>
      <x:c r="H137" s="1" t="s">
        <x:v>27</x:v>
      </x:c>
      <x:c r="I137" s="1" t="s">
        <x:v>20</x:v>
      </x:c>
      <x:c r="J137" s="1" t="s">
        <x:v>20</x:v>
      </x:c>
      <x:c r="K137" s="1" t="s">
        <x:v>20</x:v>
      </x:c>
      <x:c r="L137" s="1" t="s">
        <x:v>20</x:v>
      </x:c>
      <x:c r="M137" s="1" t="s">
        <x:v>20</x:v>
      </x:c>
      <x:c r="N137" s="1" t="s">
        <x:v>20</x:v>
      </x:c>
      <x:c r="O137" s="1" t="s">
        <x:v>20</x:v>
      </x:c>
      <x:c r="P137" s="1" t="s">
        <x:v>20</x:v>
      </x:c>
      <x:c r="Q137" s="1" t="s">
        <x:v>20</x:v>
      </x:c>
    </x:row>
    <x:row r="138" spans="1:17">
      <x:c r="A138" s="1" t="s">
        <x:v>20</x:v>
      </x:c>
      <x:c r="B138" s="2" t="s">
        <x:v>20</x:v>
      </x:c>
      <x:c r="C138" s="2" t="s">
        <x:v>20</x:v>
      </x:c>
      <x:c r="D138" s="1" t="s">
        <x:v>20</x:v>
      </x:c>
      <x:c r="E138" s="1" t="s">
        <x:v>20</x:v>
      </x:c>
      <x:c r="F138" s="2" t="s">
        <x:v>141</x:v>
      </x:c>
      <x:c r="G138" s="1" t="s">
        <x:v>20</x:v>
      </x:c>
      <x:c r="H138" s="1" t="s">
        <x:v>29</x:v>
      </x:c>
      <x:c r="I138" s="1" t="s">
        <x:v>20</x:v>
      </x:c>
      <x:c r="J138" s="1" t="s">
        <x:v>20</x:v>
      </x:c>
      <x:c r="K138" s="1" t="s">
        <x:v>20</x:v>
      </x:c>
      <x:c r="L138" s="1" t="s">
        <x:v>20</x:v>
      </x:c>
      <x:c r="M138" s="1" t="s">
        <x:v>20</x:v>
      </x:c>
      <x:c r="N138" s="1" t="s">
        <x:v>20</x:v>
      </x:c>
      <x:c r="O138" s="1" t="s">
        <x:v>20</x:v>
      </x:c>
      <x:c r="P138" s="1" t="s">
        <x:v>20</x:v>
      </x:c>
      <x:c r="Q138" s="1" t="s">
        <x:v>20</x:v>
      </x:c>
    </x:row>
    <x:row r="139" spans="1:17">
      <x:c r="A139" s="1" t="s">
        <x:v>20</x:v>
      </x:c>
      <x:c r="B139" s="2" t="s">
        <x:v>20</x:v>
      </x:c>
      <x:c r="C139" s="2" t="s">
        <x:v>20</x:v>
      </x:c>
      <x:c r="D139" s="1" t="s">
        <x:v>20</x:v>
      </x:c>
      <x:c r="E139" s="1" t="s">
        <x:v>20</x:v>
      </x:c>
      <x:c r="F139" s="1" t="s">
        <x:v>30</x:v>
      </x:c>
      <x:c r="G139" s="1" t="s">
        <x:v>20</x:v>
      </x:c>
      <x:c r="H139" s="1" t="s">
        <x:v>134</x:v>
      </x:c>
      <x:c r="I139" s="1" t="s">
        <x:v>20</x:v>
      </x:c>
      <x:c r="J139" s="1" t="s">
        <x:v>20</x:v>
      </x:c>
      <x:c r="K139" s="1" t="s">
        <x:v>20</x:v>
      </x:c>
      <x:c r="L139" s="1" t="s">
        <x:v>20</x:v>
      </x:c>
      <x:c r="M139" s="1" t="s">
        <x:v>20</x:v>
      </x:c>
      <x:c r="N139" s="1" t="s">
        <x:v>20</x:v>
      </x:c>
      <x:c r="O139" s="1" t="s">
        <x:v>20</x:v>
      </x:c>
      <x:c r="P139" s="1" t="s">
        <x:v>20</x:v>
      </x:c>
      <x:c r="Q139" s="1" t="s">
        <x:v>20</x:v>
      </x:c>
    </x:row>
    <x:row r="140" spans="1:17">
      <x:c r="A140" s="1" t="s">
        <x:v>142</x:v>
      </x:c>
      <x:c r="B140" s="2" t="s">
        <x:v>77</x:v>
      </x:c>
      <x:c r="C140" s="2">
        <x:f>HYPERLINK("https://team-w7jm.testit.software/projects/1/tests/151", "Запрос ID бронирования по параметрам checkout корректные данные")</x:f>
      </x:c>
      <x:c r="D140" s="1" t="s">
        <x:v>19</x:v>
      </x:c>
      <x:c r="E140" s="1" t="s">
        <x:v>20</x:v>
      </x:c>
      <x:c r="F140" s="1" t="s">
        <x:v>20</x:v>
      </x:c>
      <x:c r="G140" s="1" t="s">
        <x:v>20</x:v>
      </x:c>
      <x:c r="H140" s="1" t="s">
        <x:v>20</x:v>
      </x:c>
      <x:c r="I140" s="1" t="s">
        <x:v>20</x:v>
      </x:c>
      <x:c r="J140" s="1" t="s">
        <x:v>20</x:v>
      </x:c>
      <x:c r="K140" s="1" t="s">
        <x:v>20</x:v>
      </x:c>
      <x:c r="L140" s="1" t="s">
        <x:v>21</x:v>
      </x:c>
      <x:c r="M140" s="1" t="s">
        <x:v>22</x:v>
      </x:c>
      <x:c r="N140" s="1" t="s">
        <x:v>143</x:v>
      </x:c>
      <x:c r="O140" s="1" t="s">
        <x:v>24</x:v>
      </x:c>
      <x:c r="P140" s="1" t="s">
        <x:v>25</x:v>
      </x:c>
      <x:c r="Q140" s="1" t="s">
        <x:v>129</x:v>
      </x:c>
    </x:row>
    <x:row r="141" spans="1:17">
      <x:c r="A141" s="1" t="s">
        <x:v>20</x:v>
      </x:c>
      <x:c r="B141" s="2" t="s">
        <x:v>20</x:v>
      </x:c>
      <x:c r="C141" s="2" t="s">
        <x:v>20</x:v>
      </x:c>
      <x:c r="D141" s="1" t="s">
        <x:v>20</x:v>
      </x:c>
      <x:c r="E141" s="1" t="s">
        <x:v>26</x:v>
      </x:c>
      <x:c r="F141" s="1" t="s">
        <x:v>20</x:v>
      </x:c>
      <x:c r="G141" s="1" t="s">
        <x:v>20</x:v>
      </x:c>
      <x:c r="H141" s="1" t="s">
        <x:v>27</x:v>
      </x:c>
      <x:c r="I141" s="1" t="s">
        <x:v>20</x:v>
      </x:c>
      <x:c r="J141" s="1" t="s">
        <x:v>20</x:v>
      </x:c>
      <x:c r="K141" s="1" t="s">
        <x:v>20</x:v>
      </x:c>
      <x:c r="L141" s="1" t="s">
        <x:v>20</x:v>
      </x:c>
      <x:c r="M141" s="1" t="s">
        <x:v>20</x:v>
      </x:c>
      <x:c r="N141" s="1" t="s">
        <x:v>20</x:v>
      </x:c>
      <x:c r="O141" s="1" t="s">
        <x:v>20</x:v>
      </x:c>
      <x:c r="P141" s="1" t="s">
        <x:v>20</x:v>
      </x:c>
      <x:c r="Q141" s="1" t="s">
        <x:v>20</x:v>
      </x:c>
    </x:row>
    <x:row r="142" spans="1:17">
      <x:c r="A142" s="1" t="s">
        <x:v>20</x:v>
      </x:c>
      <x:c r="B142" s="2" t="s">
        <x:v>20</x:v>
      </x:c>
      <x:c r="C142" s="2" t="s">
        <x:v>20</x:v>
      </x:c>
      <x:c r="D142" s="1" t="s">
        <x:v>20</x:v>
      </x:c>
      <x:c r="E142" s="1" t="s">
        <x:v>20</x:v>
      </x:c>
      <x:c r="F142" s="2" t="s">
        <x:v>144</x:v>
      </x:c>
      <x:c r="G142" s="1" t="s">
        <x:v>20</x:v>
      </x:c>
      <x:c r="H142" s="1" t="s">
        <x:v>29</x:v>
      </x:c>
      <x:c r="I142" s="1" t="s">
        <x:v>20</x:v>
      </x:c>
      <x:c r="J142" s="1" t="s">
        <x:v>20</x:v>
      </x:c>
      <x:c r="K142" s="1" t="s">
        <x:v>20</x:v>
      </x:c>
      <x:c r="L142" s="1" t="s">
        <x:v>20</x:v>
      </x:c>
      <x:c r="M142" s="1" t="s">
        <x:v>20</x:v>
      </x:c>
      <x:c r="N142" s="1" t="s">
        <x:v>20</x:v>
      </x:c>
      <x:c r="O142" s="1" t="s">
        <x:v>20</x:v>
      </x:c>
      <x:c r="P142" s="1" t="s">
        <x:v>20</x:v>
      </x:c>
      <x:c r="Q142" s="1" t="s">
        <x:v>20</x:v>
      </x:c>
    </x:row>
    <x:row r="143" spans="1:17">
      <x:c r="A143" s="1" t="s">
        <x:v>20</x:v>
      </x:c>
      <x:c r="B143" s="2" t="s">
        <x:v>20</x:v>
      </x:c>
      <x:c r="C143" s="2" t="s">
        <x:v>20</x:v>
      </x:c>
      <x:c r="D143" s="1" t="s">
        <x:v>20</x:v>
      </x:c>
      <x:c r="E143" s="1" t="s">
        <x:v>20</x:v>
      </x:c>
      <x:c r="F143" s="1" t="s">
        <x:v>30</x:v>
      </x:c>
      <x:c r="G143" s="1" t="s">
        <x:v>20</x:v>
      </x:c>
      <x:c r="H143" s="1" t="s">
        <x:v>145</x:v>
      </x:c>
      <x:c r="I143" s="1" t="s">
        <x:v>20</x:v>
      </x:c>
      <x:c r="J143" s="1" t="s">
        <x:v>20</x:v>
      </x:c>
      <x:c r="K143" s="1" t="s">
        <x:v>20</x:v>
      </x:c>
      <x:c r="L143" s="1" t="s">
        <x:v>20</x:v>
      </x:c>
      <x:c r="M143" s="1" t="s">
        <x:v>20</x:v>
      </x:c>
      <x:c r="N143" s="1" t="s">
        <x:v>20</x:v>
      </x:c>
      <x:c r="O143" s="1" t="s">
        <x:v>20</x:v>
      </x:c>
      <x:c r="P143" s="1" t="s">
        <x:v>20</x:v>
      </x:c>
      <x:c r="Q143" s="1" t="s">
        <x:v>20</x:v>
      </x:c>
    </x:row>
    <x:row r="144" spans="1:17">
      <x:c r="A144" s="1" t="s">
        <x:v>146</x:v>
      </x:c>
      <x:c r="B144" s="2" t="s">
        <x:v>77</x:v>
      </x:c>
      <x:c r="C144" s="2">
        <x:f>HYPERLINK("https://team-w7jm.testit.software/projects/1/tests/152", "Запрос ID бронирования по параметрам checkin/checkout неверный формат дат")</x:f>
      </x:c>
      <x:c r="D144" s="1" t="s">
        <x:v>19</x:v>
      </x:c>
      <x:c r="E144" s="1" t="s">
        <x:v>20</x:v>
      </x:c>
      <x:c r="F144" s="1" t="s">
        <x:v>20</x:v>
      </x:c>
      <x:c r="G144" s="1" t="s">
        <x:v>20</x:v>
      </x:c>
      <x:c r="H144" s="1" t="s">
        <x:v>20</x:v>
      </x:c>
      <x:c r="I144" s="1" t="s">
        <x:v>20</x:v>
      </x:c>
      <x:c r="J144" s="1" t="s">
        <x:v>20</x:v>
      </x:c>
      <x:c r="K144" s="1" t="s">
        <x:v>20</x:v>
      </x:c>
      <x:c r="L144" s="1" t="s">
        <x:v>21</x:v>
      </x:c>
      <x:c r="M144" s="1" t="s">
        <x:v>22</x:v>
      </x:c>
      <x:c r="N144" s="1" t="s">
        <x:v>147</x:v>
      </x:c>
      <x:c r="O144" s="1" t="s">
        <x:v>24</x:v>
      </x:c>
      <x:c r="P144" s="1" t="s">
        <x:v>25</x:v>
      </x:c>
      <x:c r="Q144" s="1" t="s">
        <x:v>129</x:v>
      </x:c>
    </x:row>
    <x:row r="145" spans="1:17">
      <x:c r="A145" s="1" t="s">
        <x:v>20</x:v>
      </x:c>
      <x:c r="B145" s="2" t="s">
        <x:v>20</x:v>
      </x:c>
      <x:c r="C145" s="2" t="s">
        <x:v>20</x:v>
      </x:c>
      <x:c r="D145" s="1" t="s">
        <x:v>20</x:v>
      </x:c>
      <x:c r="E145" s="1" t="s">
        <x:v>26</x:v>
      </x:c>
      <x:c r="F145" s="1" t="s">
        <x:v>20</x:v>
      </x:c>
      <x:c r="G145" s="1" t="s">
        <x:v>20</x:v>
      </x:c>
      <x:c r="H145" s="1" t="s">
        <x:v>27</x:v>
      </x:c>
      <x:c r="I145" s="1" t="s">
        <x:v>20</x:v>
      </x:c>
      <x:c r="J145" s="1" t="s">
        <x:v>20</x:v>
      </x:c>
      <x:c r="K145" s="1" t="s">
        <x:v>20</x:v>
      </x:c>
      <x:c r="L145" s="1" t="s">
        <x:v>20</x:v>
      </x:c>
      <x:c r="M145" s="1" t="s">
        <x:v>20</x:v>
      </x:c>
      <x:c r="N145" s="1" t="s">
        <x:v>20</x:v>
      </x:c>
      <x:c r="O145" s="1" t="s">
        <x:v>20</x:v>
      </x:c>
      <x:c r="P145" s="1" t="s">
        <x:v>20</x:v>
      </x:c>
      <x:c r="Q145" s="1" t="s">
        <x:v>20</x:v>
      </x:c>
    </x:row>
    <x:row r="146" spans="1:17">
      <x:c r="A146" s="1" t="s">
        <x:v>20</x:v>
      </x:c>
      <x:c r="B146" s="2" t="s">
        <x:v>20</x:v>
      </x:c>
      <x:c r="C146" s="2" t="s">
        <x:v>20</x:v>
      </x:c>
      <x:c r="D146" s="1" t="s">
        <x:v>20</x:v>
      </x:c>
      <x:c r="E146" s="1" t="s">
        <x:v>20</x:v>
      </x:c>
      <x:c r="F146" s="2" t="s">
        <x:v>148</x:v>
      </x:c>
      <x:c r="G146" s="1" t="s">
        <x:v>20</x:v>
      </x:c>
      <x:c r="H146" s="1" t="s">
        <x:v>29</x:v>
      </x:c>
      <x:c r="I146" s="1" t="s">
        <x:v>20</x:v>
      </x:c>
      <x:c r="J146" s="1" t="s">
        <x:v>20</x:v>
      </x:c>
      <x:c r="K146" s="1" t="s">
        <x:v>20</x:v>
      </x:c>
      <x:c r="L146" s="1" t="s">
        <x:v>20</x:v>
      </x:c>
      <x:c r="M146" s="1" t="s">
        <x:v>20</x:v>
      </x:c>
      <x:c r="N146" s="1" t="s">
        <x:v>20</x:v>
      </x:c>
      <x:c r="O146" s="1" t="s">
        <x:v>20</x:v>
      </x:c>
      <x:c r="P146" s="1" t="s">
        <x:v>20</x:v>
      </x:c>
      <x:c r="Q146" s="1" t="s">
        <x:v>20</x:v>
      </x:c>
    </x:row>
    <x:row r="147" spans="1:17">
      <x:c r="A147" s="1" t="s">
        <x:v>20</x:v>
      </x:c>
      <x:c r="B147" s="2" t="s">
        <x:v>20</x:v>
      </x:c>
      <x:c r="C147" s="2" t="s">
        <x:v>20</x:v>
      </x:c>
      <x:c r="D147" s="1" t="s">
        <x:v>20</x:v>
      </x:c>
      <x:c r="E147" s="1" t="s">
        <x:v>20</x:v>
      </x:c>
      <x:c r="F147" s="1" t="s">
        <x:v>30</x:v>
      </x:c>
      <x:c r="G147" s="1" t="s">
        <x:v>20</x:v>
      </x:c>
      <x:c r="H147" s="1" t="s">
        <x:v>149</x:v>
      </x:c>
      <x:c r="I147" s="1" t="s">
        <x:v>20</x:v>
      </x:c>
      <x:c r="J147" s="1" t="s">
        <x:v>20</x:v>
      </x:c>
      <x:c r="K147" s="1" t="s">
        <x:v>20</x:v>
      </x:c>
      <x:c r="L147" s="1" t="s">
        <x:v>20</x:v>
      </x:c>
      <x:c r="M147" s="1" t="s">
        <x:v>20</x:v>
      </x:c>
      <x:c r="N147" s="1" t="s">
        <x:v>20</x:v>
      </x:c>
      <x:c r="O147" s="1" t="s">
        <x:v>20</x:v>
      </x:c>
      <x:c r="P147" s="1" t="s">
        <x:v>20</x:v>
      </x:c>
      <x:c r="Q147" s="1" t="s">
        <x:v>20</x:v>
      </x:c>
    </x:row>
    <x:row r="148" spans="1:17">
      <x:c r="A148" s="1" t="s">
        <x:v>150</x:v>
      </x:c>
      <x:c r="B148" s="2" t="s">
        <x:v>77</x:v>
      </x:c>
      <x:c r="C148" s="2">
        <x:f>HYPERLINK("https://team-w7jm.testit.software/projects/1/tests/153", "Запрос ID бронирования по параметрам checkin/checkout 32 число месяца")</x:f>
      </x:c>
      <x:c r="D148" s="1" t="s">
        <x:v>19</x:v>
      </x:c>
      <x:c r="E148" s="1" t="s">
        <x:v>20</x:v>
      </x:c>
      <x:c r="F148" s="1" t="s">
        <x:v>20</x:v>
      </x:c>
      <x:c r="G148" s="1" t="s">
        <x:v>20</x:v>
      </x:c>
      <x:c r="H148" s="1" t="s">
        <x:v>20</x:v>
      </x:c>
      <x:c r="I148" s="1" t="s">
        <x:v>20</x:v>
      </x:c>
      <x:c r="J148" s="1" t="s">
        <x:v>20</x:v>
      </x:c>
      <x:c r="K148" s="1" t="s">
        <x:v>20</x:v>
      </x:c>
      <x:c r="L148" s="1" t="s">
        <x:v>21</x:v>
      </x:c>
      <x:c r="M148" s="1" t="s">
        <x:v>22</x:v>
      </x:c>
      <x:c r="N148" s="1" t="s">
        <x:v>151</x:v>
      </x:c>
      <x:c r="O148" s="1" t="s">
        <x:v>24</x:v>
      </x:c>
      <x:c r="P148" s="1" t="s">
        <x:v>25</x:v>
      </x:c>
      <x:c r="Q148" s="1" t="s">
        <x:v>129</x:v>
      </x:c>
    </x:row>
    <x:row r="149" spans="1:17">
      <x:c r="A149" s="1" t="s">
        <x:v>20</x:v>
      </x:c>
      <x:c r="B149" s="2" t="s">
        <x:v>20</x:v>
      </x:c>
      <x:c r="C149" s="2" t="s">
        <x:v>20</x:v>
      </x:c>
      <x:c r="D149" s="1" t="s">
        <x:v>20</x:v>
      </x:c>
      <x:c r="E149" s="1" t="s">
        <x:v>26</x:v>
      </x:c>
      <x:c r="F149" s="1" t="s">
        <x:v>20</x:v>
      </x:c>
      <x:c r="G149" s="1" t="s">
        <x:v>20</x:v>
      </x:c>
      <x:c r="H149" s="1" t="s">
        <x:v>27</x:v>
      </x:c>
      <x:c r="I149" s="1" t="s">
        <x:v>20</x:v>
      </x:c>
      <x:c r="J149" s="1" t="s">
        <x:v>20</x:v>
      </x:c>
      <x:c r="K149" s="1" t="s">
        <x:v>20</x:v>
      </x:c>
      <x:c r="L149" s="1" t="s">
        <x:v>20</x:v>
      </x:c>
      <x:c r="M149" s="1" t="s">
        <x:v>20</x:v>
      </x:c>
      <x:c r="N149" s="1" t="s">
        <x:v>20</x:v>
      </x:c>
      <x:c r="O149" s="1" t="s">
        <x:v>20</x:v>
      </x:c>
      <x:c r="P149" s="1" t="s">
        <x:v>20</x:v>
      </x:c>
      <x:c r="Q149" s="1" t="s">
        <x:v>20</x:v>
      </x:c>
    </x:row>
    <x:row r="150" spans="1:17">
      <x:c r="A150" s="1" t="s">
        <x:v>20</x:v>
      </x:c>
      <x:c r="B150" s="2" t="s">
        <x:v>20</x:v>
      </x:c>
      <x:c r="C150" s="2" t="s">
        <x:v>20</x:v>
      </x:c>
      <x:c r="D150" s="1" t="s">
        <x:v>20</x:v>
      </x:c>
      <x:c r="E150" s="1" t="s">
        <x:v>20</x:v>
      </x:c>
      <x:c r="F150" s="2" t="s">
        <x:v>152</x:v>
      </x:c>
      <x:c r="G150" s="1" t="s">
        <x:v>20</x:v>
      </x:c>
      <x:c r="H150" s="1" t="s">
        <x:v>29</x:v>
      </x:c>
      <x:c r="I150" s="1" t="s">
        <x:v>20</x:v>
      </x:c>
      <x:c r="J150" s="1" t="s">
        <x:v>20</x:v>
      </x:c>
      <x:c r="K150" s="1" t="s">
        <x:v>20</x:v>
      </x:c>
      <x:c r="L150" s="1" t="s">
        <x:v>20</x:v>
      </x:c>
      <x:c r="M150" s="1" t="s">
        <x:v>20</x:v>
      </x:c>
      <x:c r="N150" s="1" t="s">
        <x:v>20</x:v>
      </x:c>
      <x:c r="O150" s="1" t="s">
        <x:v>20</x:v>
      </x:c>
      <x:c r="P150" s="1" t="s">
        <x:v>20</x:v>
      </x:c>
      <x:c r="Q150" s="1" t="s">
        <x:v>20</x:v>
      </x:c>
    </x:row>
    <x:row r="151" spans="1:17">
      <x:c r="A151" s="1" t="s">
        <x:v>20</x:v>
      </x:c>
      <x:c r="B151" s="2" t="s">
        <x:v>20</x:v>
      </x:c>
      <x:c r="C151" s="2" t="s">
        <x:v>20</x:v>
      </x:c>
      <x:c r="D151" s="1" t="s">
        <x:v>20</x:v>
      </x:c>
      <x:c r="E151" s="1" t="s">
        <x:v>20</x:v>
      </x:c>
      <x:c r="F151" s="1" t="s">
        <x:v>30</x:v>
      </x:c>
      <x:c r="G151" s="1" t="s">
        <x:v>20</x:v>
      </x:c>
      <x:c r="H151" s="1" t="s">
        <x:v>149</x:v>
      </x:c>
      <x:c r="I151" s="1" t="s">
        <x:v>20</x:v>
      </x:c>
      <x:c r="J151" s="1" t="s">
        <x:v>20</x:v>
      </x:c>
      <x:c r="K151" s="1" t="s">
        <x:v>20</x:v>
      </x:c>
      <x:c r="L151" s="1" t="s">
        <x:v>20</x:v>
      </x:c>
      <x:c r="M151" s="1" t="s">
        <x:v>20</x:v>
      </x:c>
      <x:c r="N151" s="1" t="s">
        <x:v>20</x:v>
      </x:c>
      <x:c r="O151" s="1" t="s">
        <x:v>20</x:v>
      </x:c>
      <x:c r="P151" s="1" t="s">
        <x:v>20</x:v>
      </x:c>
      <x:c r="Q151" s="1" t="s">
        <x:v>20</x:v>
      </x:c>
    </x:row>
    <x:row r="152" spans="1:17">
      <x:c r="A152" s="1" t="s">
        <x:v>153</x:v>
      </x:c>
      <x:c r="B152" s="2" t="s">
        <x:v>154</x:v>
      </x:c>
      <x:c r="C152" s="2">
        <x:f>HYPERLINK("https://team-w7jm.testit.software/projects/1/tests/154", "Запрос бронирования по id")</x:f>
      </x:c>
      <x:c r="D152" s="1" t="s">
        <x:v>19</x:v>
      </x:c>
      <x:c r="E152" s="1" t="s">
        <x:v>20</x:v>
      </x:c>
      <x:c r="F152" s="1" t="s">
        <x:v>20</x:v>
      </x:c>
      <x:c r="G152" s="1" t="s">
        <x:v>20</x:v>
      </x:c>
      <x:c r="H152" s="1" t="s">
        <x:v>20</x:v>
      </x:c>
      <x:c r="I152" s="1" t="s">
        <x:v>20</x:v>
      </x:c>
      <x:c r="J152" s="1" t="s">
        <x:v>20</x:v>
      </x:c>
      <x:c r="K152" s="1" t="s">
        <x:v>20</x:v>
      </x:c>
      <x:c r="L152" s="1" t="s">
        <x:v>21</x:v>
      </x:c>
      <x:c r="M152" s="1" t="s">
        <x:v>22</x:v>
      </x:c>
      <x:c r="N152" s="1" t="s">
        <x:v>155</x:v>
      </x:c>
      <x:c r="O152" s="1" t="s">
        <x:v>24</x:v>
      </x:c>
      <x:c r="P152" s="1" t="s">
        <x:v>25</x:v>
      </x:c>
      <x:c r="Q152" s="1" t="s">
        <x:v>20</x:v>
      </x:c>
    </x:row>
    <x:row r="153" spans="1:17">
      <x:c r="A153" s="1" t="s">
        <x:v>20</x:v>
      </x:c>
      <x:c r="B153" s="2" t="s">
        <x:v>20</x:v>
      </x:c>
      <x:c r="C153" s="2" t="s">
        <x:v>20</x:v>
      </x:c>
      <x:c r="D153" s="1" t="s">
        <x:v>20</x:v>
      </x:c>
      <x:c r="E153" s="1" t="s">
        <x:v>26</x:v>
      </x:c>
      <x:c r="F153" s="1" t="s">
        <x:v>20</x:v>
      </x:c>
      <x:c r="G153" s="1" t="s">
        <x:v>20</x:v>
      </x:c>
      <x:c r="H153" s="1" t="s">
        <x:v>27</x:v>
      </x:c>
      <x:c r="I153" s="1" t="s">
        <x:v>20</x:v>
      </x:c>
      <x:c r="J153" s="1" t="s">
        <x:v>20</x:v>
      </x:c>
      <x:c r="K153" s="1" t="s">
        <x:v>20</x:v>
      </x:c>
      <x:c r="L153" s="1" t="s">
        <x:v>20</x:v>
      </x:c>
      <x:c r="M153" s="1" t="s">
        <x:v>20</x:v>
      </x:c>
      <x:c r="N153" s="1" t="s">
        <x:v>20</x:v>
      </x:c>
      <x:c r="O153" s="1" t="s">
        <x:v>20</x:v>
      </x:c>
      <x:c r="P153" s="1" t="s">
        <x:v>20</x:v>
      </x:c>
      <x:c r="Q153" s="1" t="s">
        <x:v>20</x:v>
      </x:c>
    </x:row>
    <x:row r="154" spans="1:17">
      <x:c r="A154" s="1" t="s">
        <x:v>20</x:v>
      </x:c>
      <x:c r="B154" s="2" t="s">
        <x:v>20</x:v>
      </x:c>
      <x:c r="C154" s="2" t="s">
        <x:v>20</x:v>
      </x:c>
      <x:c r="D154" s="1" t="s">
        <x:v>20</x:v>
      </x:c>
      <x:c r="E154" s="1" t="s">
        <x:v>20</x:v>
      </x:c>
      <x:c r="F154" s="2" t="s">
        <x:v>156</x:v>
      </x:c>
      <x:c r="G154" s="1" t="s">
        <x:v>20</x:v>
      </x:c>
      <x:c r="H154" s="1" t="s">
        <x:v>29</x:v>
      </x:c>
      <x:c r="I154" s="1" t="s">
        <x:v>20</x:v>
      </x:c>
      <x:c r="J154" s="1" t="s">
        <x:v>20</x:v>
      </x:c>
      <x:c r="K154" s="1" t="s">
        <x:v>20</x:v>
      </x:c>
      <x:c r="L154" s="1" t="s">
        <x:v>20</x:v>
      </x:c>
      <x:c r="M154" s="1" t="s">
        <x:v>20</x:v>
      </x:c>
      <x:c r="N154" s="1" t="s">
        <x:v>20</x:v>
      </x:c>
      <x:c r="O154" s="1" t="s">
        <x:v>20</x:v>
      </x:c>
      <x:c r="P154" s="1" t="s">
        <x:v>20</x:v>
      </x:c>
      <x:c r="Q154" s="1" t="s">
        <x:v>20</x:v>
      </x:c>
    </x:row>
    <x:row r="155" spans="1:17">
      <x:c r="A155" s="1" t="s">
        <x:v>20</x:v>
      </x:c>
      <x:c r="B155" s="2" t="s">
        <x:v>20</x:v>
      </x:c>
      <x:c r="C155" s="2" t="s">
        <x:v>20</x:v>
      </x:c>
      <x:c r="D155" s="1" t="s">
        <x:v>20</x:v>
      </x:c>
      <x:c r="E155" s="1" t="s">
        <x:v>20</x:v>
      </x:c>
      <x:c r="F155" s="1" t="s">
        <x:v>30</x:v>
      </x:c>
      <x:c r="G155" s="1" t="s">
        <x:v>20</x:v>
      </x:c>
      <x:c r="H155" s="1" t="s">
        <x:v>157</x:v>
      </x:c>
      <x:c r="I155" s="1" t="s">
        <x:v>20</x:v>
      </x:c>
      <x:c r="J155" s="1" t="s">
        <x:v>20</x:v>
      </x:c>
      <x:c r="K155" s="1" t="s">
        <x:v>20</x:v>
      </x:c>
      <x:c r="L155" s="1" t="s">
        <x:v>20</x:v>
      </x:c>
      <x:c r="M155" s="1" t="s">
        <x:v>20</x:v>
      </x:c>
      <x:c r="N155" s="1" t="s">
        <x:v>20</x:v>
      </x:c>
      <x:c r="O155" s="1" t="s">
        <x:v>20</x:v>
      </x:c>
      <x:c r="P155" s="1" t="s">
        <x:v>20</x:v>
      </x:c>
      <x:c r="Q155" s="1" t="s">
        <x:v>20</x:v>
      </x:c>
    </x:row>
    <x:row r="156" spans="1:17">
      <x:c r="A156" s="1" t="s">
        <x:v>158</x:v>
      </x:c>
      <x:c r="B156" s="2" t="s">
        <x:v>154</x:v>
      </x:c>
      <x:c r="C156" s="2">
        <x:f>HYPERLINK("https://team-w7jm.testit.software/projects/1/tests/155", "Запрос бронирования по id не существующему")</x:f>
      </x:c>
      <x:c r="D156" s="1" t="s">
        <x:v>19</x:v>
      </x:c>
      <x:c r="E156" s="1" t="s">
        <x:v>20</x:v>
      </x:c>
      <x:c r="F156" s="1" t="s">
        <x:v>20</x:v>
      </x:c>
      <x:c r="G156" s="1" t="s">
        <x:v>20</x:v>
      </x:c>
      <x:c r="H156" s="1" t="s">
        <x:v>20</x:v>
      </x:c>
      <x:c r="I156" s="1" t="s">
        <x:v>20</x:v>
      </x:c>
      <x:c r="J156" s="1" t="s">
        <x:v>20</x:v>
      </x:c>
      <x:c r="K156" s="1" t="s">
        <x:v>20</x:v>
      </x:c>
      <x:c r="L156" s="1" t="s">
        <x:v>21</x:v>
      </x:c>
      <x:c r="M156" s="1" t="s">
        <x:v>22</x:v>
      </x:c>
      <x:c r="N156" s="1" t="s">
        <x:v>159</x:v>
      </x:c>
      <x:c r="O156" s="1" t="s">
        <x:v>24</x:v>
      </x:c>
      <x:c r="P156" s="1" t="s">
        <x:v>25</x:v>
      </x:c>
      <x:c r="Q156" s="1" t="s">
        <x:v>20</x:v>
      </x:c>
    </x:row>
    <x:row r="157" spans="1:17">
      <x:c r="A157" s="1" t="s">
        <x:v>20</x:v>
      </x:c>
      <x:c r="B157" s="2" t="s">
        <x:v>20</x:v>
      </x:c>
      <x:c r="C157" s="2" t="s">
        <x:v>20</x:v>
      </x:c>
      <x:c r="D157" s="1" t="s">
        <x:v>20</x:v>
      </x:c>
      <x:c r="E157" s="1" t="s">
        <x:v>26</x:v>
      </x:c>
      <x:c r="F157" s="1" t="s">
        <x:v>20</x:v>
      </x:c>
      <x:c r="G157" s="1" t="s">
        <x:v>20</x:v>
      </x:c>
      <x:c r="H157" s="1" t="s">
        <x:v>27</x:v>
      </x:c>
      <x:c r="I157" s="1" t="s">
        <x:v>20</x:v>
      </x:c>
      <x:c r="J157" s="1" t="s">
        <x:v>20</x:v>
      </x:c>
      <x:c r="K157" s="1" t="s">
        <x:v>20</x:v>
      </x:c>
      <x:c r="L157" s="1" t="s">
        <x:v>20</x:v>
      </x:c>
      <x:c r="M157" s="1" t="s">
        <x:v>20</x:v>
      </x:c>
      <x:c r="N157" s="1" t="s">
        <x:v>20</x:v>
      </x:c>
      <x:c r="O157" s="1" t="s">
        <x:v>20</x:v>
      </x:c>
      <x:c r="P157" s="1" t="s">
        <x:v>20</x:v>
      </x:c>
      <x:c r="Q157" s="1" t="s">
        <x:v>20</x:v>
      </x:c>
    </x:row>
    <x:row r="158" spans="1:17">
      <x:c r="A158" s="1" t="s">
        <x:v>20</x:v>
      </x:c>
      <x:c r="B158" s="2" t="s">
        <x:v>20</x:v>
      </x:c>
      <x:c r="C158" s="2" t="s">
        <x:v>20</x:v>
      </x:c>
      <x:c r="D158" s="1" t="s">
        <x:v>20</x:v>
      </x:c>
      <x:c r="E158" s="1" t="s">
        <x:v>20</x:v>
      </x:c>
      <x:c r="F158" s="2" t="s">
        <x:v>160</x:v>
      </x:c>
      <x:c r="G158" s="1" t="s">
        <x:v>20</x:v>
      </x:c>
      <x:c r="H158" s="1" t="s">
        <x:v>29</x:v>
      </x:c>
      <x:c r="I158" s="1" t="s">
        <x:v>20</x:v>
      </x:c>
      <x:c r="J158" s="1" t="s">
        <x:v>20</x:v>
      </x:c>
      <x:c r="K158" s="1" t="s">
        <x:v>20</x:v>
      </x:c>
      <x:c r="L158" s="1" t="s">
        <x:v>20</x:v>
      </x:c>
      <x:c r="M158" s="1" t="s">
        <x:v>20</x:v>
      </x:c>
      <x:c r="N158" s="1" t="s">
        <x:v>20</x:v>
      </x:c>
      <x:c r="O158" s="1" t="s">
        <x:v>20</x:v>
      </x:c>
      <x:c r="P158" s="1" t="s">
        <x:v>20</x:v>
      </x:c>
      <x:c r="Q158" s="1" t="s">
        <x:v>20</x:v>
      </x:c>
    </x:row>
    <x:row r="159" spans="1:17">
      <x:c r="A159" s="1" t="s">
        <x:v>20</x:v>
      </x:c>
      <x:c r="B159" s="2" t="s">
        <x:v>20</x:v>
      </x:c>
      <x:c r="C159" s="2" t="s">
        <x:v>20</x:v>
      </x:c>
      <x:c r="D159" s="1" t="s">
        <x:v>20</x:v>
      </x:c>
      <x:c r="E159" s="1" t="s">
        <x:v>20</x:v>
      </x:c>
      <x:c r="F159" s="1" t="s">
        <x:v>30</x:v>
      </x:c>
      <x:c r="G159" s="1" t="s">
        <x:v>20</x:v>
      </x:c>
      <x:c r="H159" s="1" t="s">
        <x:v>161</x:v>
      </x:c>
      <x:c r="I159" s="1" t="s">
        <x:v>20</x:v>
      </x:c>
      <x:c r="J159" s="1" t="s">
        <x:v>20</x:v>
      </x:c>
      <x:c r="K159" s="1" t="s">
        <x:v>20</x:v>
      </x:c>
      <x:c r="L159" s="1" t="s">
        <x:v>20</x:v>
      </x:c>
      <x:c r="M159" s="1" t="s">
        <x:v>20</x:v>
      </x:c>
      <x:c r="N159" s="1" t="s">
        <x:v>20</x:v>
      </x:c>
      <x:c r="O159" s="1" t="s">
        <x:v>20</x:v>
      </x:c>
      <x:c r="P159" s="1" t="s">
        <x:v>20</x:v>
      </x:c>
      <x:c r="Q159" s="1" t="s">
        <x:v>20</x:v>
      </x:c>
    </x:row>
    <x:row r="160" spans="1:17">
      <x:c r="A160" s="1" t="s">
        <x:v>162</x:v>
      </x:c>
      <x:c r="B160" s="2" t="s">
        <x:v>154</x:v>
      </x:c>
      <x:c r="C160" s="2">
        <x:f>HYPERLINK("https://team-w7jm.testit.software/projects/1/tests/156", "Запрос бронирования по id буква")</x:f>
      </x:c>
      <x:c r="D160" s="1" t="s">
        <x:v>19</x:v>
      </x:c>
      <x:c r="E160" s="1" t="s">
        <x:v>20</x:v>
      </x:c>
      <x:c r="F160" s="1" t="s">
        <x:v>20</x:v>
      </x:c>
      <x:c r="G160" s="1" t="s">
        <x:v>20</x:v>
      </x:c>
      <x:c r="H160" s="1" t="s">
        <x:v>20</x:v>
      </x:c>
      <x:c r="I160" s="1" t="s">
        <x:v>20</x:v>
      </x:c>
      <x:c r="J160" s="1" t="s">
        <x:v>20</x:v>
      </x:c>
      <x:c r="K160" s="1" t="s">
        <x:v>20</x:v>
      </x:c>
      <x:c r="L160" s="1" t="s">
        <x:v>21</x:v>
      </x:c>
      <x:c r="M160" s="1" t="s">
        <x:v>22</x:v>
      </x:c>
      <x:c r="N160" s="1" t="s">
        <x:v>163</x:v>
      </x:c>
      <x:c r="O160" s="1" t="s">
        <x:v>24</x:v>
      </x:c>
      <x:c r="P160" s="1" t="s">
        <x:v>25</x:v>
      </x:c>
      <x:c r="Q160" s="1" t="s">
        <x:v>20</x:v>
      </x:c>
    </x:row>
    <x:row r="161" spans="1:17">
      <x:c r="A161" s="1" t="s">
        <x:v>20</x:v>
      </x:c>
      <x:c r="B161" s="2" t="s">
        <x:v>20</x:v>
      </x:c>
      <x:c r="C161" s="2" t="s">
        <x:v>20</x:v>
      </x:c>
      <x:c r="D161" s="1" t="s">
        <x:v>20</x:v>
      </x:c>
      <x:c r="E161" s="1" t="s">
        <x:v>26</x:v>
      </x:c>
      <x:c r="F161" s="1" t="s">
        <x:v>20</x:v>
      </x:c>
      <x:c r="G161" s="1" t="s">
        <x:v>20</x:v>
      </x:c>
      <x:c r="H161" s="1" t="s">
        <x:v>27</x:v>
      </x:c>
      <x:c r="I161" s="1" t="s">
        <x:v>20</x:v>
      </x:c>
      <x:c r="J161" s="1" t="s">
        <x:v>20</x:v>
      </x:c>
      <x:c r="K161" s="1" t="s">
        <x:v>20</x:v>
      </x:c>
      <x:c r="L161" s="1" t="s">
        <x:v>20</x:v>
      </x:c>
      <x:c r="M161" s="1" t="s">
        <x:v>20</x:v>
      </x:c>
      <x:c r="N161" s="1" t="s">
        <x:v>20</x:v>
      </x:c>
      <x:c r="O161" s="1" t="s">
        <x:v>20</x:v>
      </x:c>
      <x:c r="P161" s="1" t="s">
        <x:v>20</x:v>
      </x:c>
      <x:c r="Q161" s="1" t="s">
        <x:v>20</x:v>
      </x:c>
    </x:row>
    <x:row r="162" spans="1:17">
      <x:c r="A162" s="1" t="s">
        <x:v>20</x:v>
      </x:c>
      <x:c r="B162" s="2" t="s">
        <x:v>20</x:v>
      </x:c>
      <x:c r="C162" s="2" t="s">
        <x:v>20</x:v>
      </x:c>
      <x:c r="D162" s="1" t="s">
        <x:v>20</x:v>
      </x:c>
      <x:c r="E162" s="1" t="s">
        <x:v>20</x:v>
      </x:c>
      <x:c r="F162" s="2" t="s">
        <x:v>164</x:v>
      </x:c>
      <x:c r="G162" s="1" t="s">
        <x:v>20</x:v>
      </x:c>
      <x:c r="H162" s="1" t="s">
        <x:v>29</x:v>
      </x:c>
      <x:c r="I162" s="1" t="s">
        <x:v>20</x:v>
      </x:c>
      <x:c r="J162" s="1" t="s">
        <x:v>20</x:v>
      </x:c>
      <x:c r="K162" s="1" t="s">
        <x:v>20</x:v>
      </x:c>
      <x:c r="L162" s="1" t="s">
        <x:v>20</x:v>
      </x:c>
      <x:c r="M162" s="1" t="s">
        <x:v>20</x:v>
      </x:c>
      <x:c r="N162" s="1" t="s">
        <x:v>20</x:v>
      </x:c>
      <x:c r="O162" s="1" t="s">
        <x:v>20</x:v>
      </x:c>
      <x:c r="P162" s="1" t="s">
        <x:v>20</x:v>
      </x:c>
      <x:c r="Q162" s="1" t="s">
        <x:v>20</x:v>
      </x:c>
    </x:row>
    <x:row r="163" spans="1:17">
      <x:c r="A163" s="1" t="s">
        <x:v>20</x:v>
      </x:c>
      <x:c r="B163" s="2" t="s">
        <x:v>20</x:v>
      </x:c>
      <x:c r="C163" s="2" t="s">
        <x:v>20</x:v>
      </x:c>
      <x:c r="D163" s="1" t="s">
        <x:v>20</x:v>
      </x:c>
      <x:c r="E163" s="1" t="s">
        <x:v>20</x:v>
      </x:c>
      <x:c r="F163" s="1" t="s">
        <x:v>30</x:v>
      </x:c>
      <x:c r="G163" s="1" t="s">
        <x:v>20</x:v>
      </x:c>
      <x:c r="H163" s="1" t="s">
        <x:v>161</x:v>
      </x:c>
      <x:c r="I163" s="1" t="s">
        <x:v>20</x:v>
      </x:c>
      <x:c r="J163" s="1" t="s">
        <x:v>20</x:v>
      </x:c>
      <x:c r="K163" s="1" t="s">
        <x:v>20</x:v>
      </x:c>
      <x:c r="L163" s="1" t="s">
        <x:v>20</x:v>
      </x:c>
      <x:c r="M163" s="1" t="s">
        <x:v>20</x:v>
      </x:c>
      <x:c r="N163" s="1" t="s">
        <x:v>20</x:v>
      </x:c>
      <x:c r="O163" s="1" t="s">
        <x:v>20</x:v>
      </x:c>
      <x:c r="P163" s="1" t="s">
        <x:v>20</x:v>
      </x:c>
      <x:c r="Q163" s="1" t="s">
        <x:v>20</x:v>
      </x:c>
    </x:row>
    <x:row r="164" spans="1:17">
      <x:c r="A164" s="1" t="s">
        <x:v>165</x:v>
      </x:c>
      <x:c r="B164" s="2" t="s">
        <x:v>154</x:v>
      </x:c>
      <x:c r="C164" s="2">
        <x:f>HYPERLINK("https://team-w7jm.testit.software/projects/1/tests/157", "Согласованность с эндпоинтом списка")</x:f>
      </x:c>
      <x:c r="D164" s="1" t="s">
        <x:v>19</x:v>
      </x:c>
      <x:c r="E164" s="1" t="s">
        <x:v>20</x:v>
      </x:c>
      <x:c r="F164" s="1" t="s">
        <x:v>20</x:v>
      </x:c>
      <x:c r="G164" s="1" t="s">
        <x:v>20</x:v>
      </x:c>
      <x:c r="H164" s="1" t="s">
        <x:v>20</x:v>
      </x:c>
      <x:c r="I164" s="1" t="s">
        <x:v>20</x:v>
      </x:c>
      <x:c r="J164" s="1" t="s">
        <x:v>20</x:v>
      </x:c>
      <x:c r="K164" s="1" t="s">
        <x:v>20</x:v>
      </x:c>
      <x:c r="L164" s="1" t="s">
        <x:v>21</x:v>
      </x:c>
      <x:c r="M164" s="1" t="s">
        <x:v>22</x:v>
      </x:c>
      <x:c r="N164" s="1" t="s">
        <x:v>166</x:v>
      </x:c>
      <x:c r="O164" s="1" t="s">
        <x:v>24</x:v>
      </x:c>
      <x:c r="P164" s="1" t="s">
        <x:v>25</x:v>
      </x:c>
      <x:c r="Q164" s="1" t="s">
        <x:v>20</x:v>
      </x:c>
    </x:row>
    <x:row r="165" spans="1:17">
      <x:c r="A165" s="1" t="s">
        <x:v>20</x:v>
      </x:c>
      <x:c r="B165" s="2" t="s">
        <x:v>20</x:v>
      </x:c>
      <x:c r="C165" s="2" t="s">
        <x:v>20</x:v>
      </x:c>
      <x:c r="D165" s="1" t="s">
        <x:v>20</x:v>
      </x:c>
      <x:c r="E165" s="1" t="s">
        <x:v>26</x:v>
      </x:c>
      <x:c r="F165" s="1" t="s">
        <x:v>20</x:v>
      </x:c>
      <x:c r="G165" s="1" t="s">
        <x:v>20</x:v>
      </x:c>
      <x:c r="H165" s="1" t="s">
        <x:v>27</x:v>
      </x:c>
      <x:c r="I165" s="1" t="s">
        <x:v>20</x:v>
      </x:c>
      <x:c r="J165" s="1" t="s">
        <x:v>20</x:v>
      </x:c>
      <x:c r="K165" s="1" t="s">
        <x:v>20</x:v>
      </x:c>
      <x:c r="L165" s="1" t="s">
        <x:v>20</x:v>
      </x:c>
      <x:c r="M165" s="1" t="s">
        <x:v>20</x:v>
      </x:c>
      <x:c r="N165" s="1" t="s">
        <x:v>20</x:v>
      </x:c>
      <x:c r="O165" s="1" t="s">
        <x:v>20</x:v>
      </x:c>
      <x:c r="P165" s="1" t="s">
        <x:v>20</x:v>
      </x:c>
      <x:c r="Q165" s="1" t="s">
        <x:v>20</x:v>
      </x:c>
    </x:row>
    <x:row r="166" spans="1:17">
      <x:c r="A166" s="1" t="s">
        <x:v>20</x:v>
      </x:c>
      <x:c r="B166" s="2" t="s">
        <x:v>20</x:v>
      </x:c>
      <x:c r="C166" s="2" t="s">
        <x:v>20</x:v>
      </x:c>
      <x:c r="D166" s="1" t="s">
        <x:v>20</x:v>
      </x:c>
      <x:c r="E166" s="1" t="s">
        <x:v>20</x:v>
      </x:c>
      <x:c r="F166" s="2" t="s">
        <x:v>167</x:v>
      </x:c>
      <x:c r="G166" s="1" t="s">
        <x:v>20</x:v>
      </x:c>
      <x:c r="H166" s="1" t="s">
        <x:v>29</x:v>
      </x:c>
      <x:c r="I166" s="1" t="s">
        <x:v>20</x:v>
      </x:c>
      <x:c r="J166" s="1" t="s">
        <x:v>20</x:v>
      </x:c>
      <x:c r="K166" s="1" t="s">
        <x:v>20</x:v>
      </x:c>
      <x:c r="L166" s="1" t="s">
        <x:v>20</x:v>
      </x:c>
      <x:c r="M166" s="1" t="s">
        <x:v>20</x:v>
      </x:c>
      <x:c r="N166" s="1" t="s">
        <x:v>20</x:v>
      </x:c>
      <x:c r="O166" s="1" t="s">
        <x:v>20</x:v>
      </x:c>
      <x:c r="P166" s="1" t="s">
        <x:v>20</x:v>
      </x:c>
      <x:c r="Q166" s="1" t="s">
        <x:v>20</x:v>
      </x:c>
    </x:row>
    <x:row r="167" spans="1:17">
      <x:c r="A167" s="1" t="s">
        <x:v>20</x:v>
      </x:c>
      <x:c r="B167" s="2" t="s">
        <x:v>20</x:v>
      </x:c>
      <x:c r="C167" s="2" t="s">
        <x:v>20</x:v>
      </x:c>
      <x:c r="D167" s="1" t="s">
        <x:v>20</x:v>
      </x:c>
      <x:c r="E167" s="1" t="s">
        <x:v>20</x:v>
      </x:c>
      <x:c r="F167" s="1" t="s">
        <x:v>30</x:v>
      </x:c>
      <x:c r="G167" s="1" t="s">
        <x:v>20</x:v>
      </x:c>
      <x:c r="H167" s="1" t="s">
        <x:v>168</x:v>
      </x:c>
      <x:c r="I167" s="1" t="s">
        <x:v>20</x:v>
      </x:c>
      <x:c r="J167" s="1" t="s">
        <x:v>20</x:v>
      </x:c>
      <x:c r="K167" s="1" t="s">
        <x:v>20</x:v>
      </x:c>
      <x:c r="L167" s="1" t="s">
        <x:v>20</x:v>
      </x:c>
      <x:c r="M167" s="1" t="s">
        <x:v>20</x:v>
      </x:c>
      <x:c r="N167" s="1" t="s">
        <x:v>20</x:v>
      </x:c>
      <x:c r="O167" s="1" t="s">
        <x:v>20</x:v>
      </x:c>
      <x:c r="P167" s="1" t="s">
        <x:v>20</x:v>
      </x:c>
      <x:c r="Q167" s="1" t="s">
        <x:v>20</x:v>
      </x:c>
    </x:row>
    <x:row r="168" spans="1:17">
      <x:c r="A168" s="1" t="s">
        <x:v>20</x:v>
      </x:c>
      <x:c r="B168" s="2" t="s">
        <x:v>20</x:v>
      </x:c>
      <x:c r="C168" s="2" t="s">
        <x:v>20</x:v>
      </x:c>
      <x:c r="D168" s="1" t="s">
        <x:v>20</x:v>
      </x:c>
      <x:c r="E168" s="1" t="s">
        <x:v>20</x:v>
      </x:c>
      <x:c r="F168" s="2" t="s">
        <x:v>169</x:v>
      </x:c>
      <x:c r="G168" s="1" t="s">
        <x:v>20</x:v>
      </x:c>
      <x:c r="H168" s="1" t="s">
        <x:v>170</x:v>
      </x:c>
      <x:c r="I168" s="1" t="s">
        <x:v>20</x:v>
      </x:c>
      <x:c r="J168" s="1" t="s">
        <x:v>20</x:v>
      </x:c>
      <x:c r="K168" s="1" t="s">
        <x:v>20</x:v>
      </x:c>
      <x:c r="L168" s="1" t="s">
        <x:v>20</x:v>
      </x:c>
      <x:c r="M168" s="1" t="s">
        <x:v>20</x:v>
      </x:c>
      <x:c r="N168" s="1" t="s">
        <x:v>20</x:v>
      </x:c>
      <x:c r="O168" s="1" t="s">
        <x:v>20</x:v>
      </x:c>
      <x:c r="P168" s="1" t="s">
        <x:v>20</x:v>
      </x:c>
      <x:c r="Q168" s="1" t="s">
        <x:v>20</x:v>
      </x:c>
    </x:row>
    <x:row r="169" spans="1:17">
      <x:c r="A169" s="1" t="s">
        <x:v>171</x:v>
      </x:c>
      <x:c r="B169" s="2" t="s">
        <x:v>154</x:v>
      </x:c>
      <x:c r="C169" s="2">
        <x:f>HYPERLINK("https://team-w7jm.testit.software/projects/1/tests/158", "Запрос по id дробный")</x:f>
      </x:c>
      <x:c r="D169" s="1" t="s">
        <x:v>19</x:v>
      </x:c>
      <x:c r="E169" s="1" t="s">
        <x:v>20</x:v>
      </x:c>
      <x:c r="F169" s="1" t="s">
        <x:v>20</x:v>
      </x:c>
      <x:c r="G169" s="1" t="s">
        <x:v>20</x:v>
      </x:c>
      <x:c r="H169" s="1" t="s">
        <x:v>20</x:v>
      </x:c>
      <x:c r="I169" s="1" t="s">
        <x:v>20</x:v>
      </x:c>
      <x:c r="J169" s="1" t="s">
        <x:v>20</x:v>
      </x:c>
      <x:c r="K169" s="1" t="s">
        <x:v>20</x:v>
      </x:c>
      <x:c r="L169" s="1" t="s">
        <x:v>21</x:v>
      </x:c>
      <x:c r="M169" s="1" t="s">
        <x:v>172</x:v>
      </x:c>
      <x:c r="N169" s="1" t="s">
        <x:v>173</x:v>
      </x:c>
      <x:c r="O169" s="1" t="s">
        <x:v>24</x:v>
      </x:c>
      <x:c r="P169" s="1" t="s">
        <x:v>25</x:v>
      </x:c>
      <x:c r="Q169" s="1" t="s">
        <x:v>20</x:v>
      </x:c>
    </x:row>
    <x:row r="170" spans="1:17">
      <x:c r="A170" s="1" t="s">
        <x:v>20</x:v>
      </x:c>
      <x:c r="B170" s="2" t="s">
        <x:v>20</x:v>
      </x:c>
      <x:c r="C170" s="2" t="s">
        <x:v>20</x:v>
      </x:c>
      <x:c r="D170" s="1" t="s">
        <x:v>20</x:v>
      </x:c>
      <x:c r="E170" s="1" t="s">
        <x:v>26</x:v>
      </x:c>
      <x:c r="F170" s="1" t="s">
        <x:v>20</x:v>
      </x:c>
      <x:c r="G170" s="1" t="s">
        <x:v>20</x:v>
      </x:c>
      <x:c r="H170" s="1" t="s">
        <x:v>27</x:v>
      </x:c>
      <x:c r="I170" s="1" t="s">
        <x:v>20</x:v>
      </x:c>
      <x:c r="J170" s="1" t="s">
        <x:v>20</x:v>
      </x:c>
      <x:c r="K170" s="1" t="s">
        <x:v>20</x:v>
      </x:c>
      <x:c r="L170" s="1" t="s">
        <x:v>20</x:v>
      </x:c>
      <x:c r="M170" s="1" t="s">
        <x:v>20</x:v>
      </x:c>
      <x:c r="N170" s="1" t="s">
        <x:v>20</x:v>
      </x:c>
      <x:c r="O170" s="1" t="s">
        <x:v>20</x:v>
      </x:c>
      <x:c r="P170" s="1" t="s">
        <x:v>20</x:v>
      </x:c>
      <x:c r="Q170" s="1" t="s">
        <x:v>20</x:v>
      </x:c>
    </x:row>
    <x:row r="171" spans="1:17">
      <x:c r="A171" s="1" t="s">
        <x:v>20</x:v>
      </x:c>
      <x:c r="B171" s="2" t="s">
        <x:v>20</x:v>
      </x:c>
      <x:c r="C171" s="2" t="s">
        <x:v>20</x:v>
      </x:c>
      <x:c r="D171" s="1" t="s">
        <x:v>20</x:v>
      </x:c>
      <x:c r="E171" s="1" t="s">
        <x:v>20</x:v>
      </x:c>
      <x:c r="F171" s="2" t="s">
        <x:v>174</x:v>
      </x:c>
      <x:c r="G171" s="1" t="s">
        <x:v>20</x:v>
      </x:c>
      <x:c r="H171" s="1" t="s">
        <x:v>29</x:v>
      </x:c>
      <x:c r="I171" s="1" t="s">
        <x:v>20</x:v>
      </x:c>
      <x:c r="J171" s="1" t="s">
        <x:v>20</x:v>
      </x:c>
      <x:c r="K171" s="1" t="s">
        <x:v>20</x:v>
      </x:c>
      <x:c r="L171" s="1" t="s">
        <x:v>20</x:v>
      </x:c>
      <x:c r="M171" s="1" t="s">
        <x:v>20</x:v>
      </x:c>
      <x:c r="N171" s="1" t="s">
        <x:v>20</x:v>
      </x:c>
      <x:c r="O171" s="1" t="s">
        <x:v>20</x:v>
      </x:c>
      <x:c r="P171" s="1" t="s">
        <x:v>20</x:v>
      </x:c>
      <x:c r="Q171" s="1" t="s">
        <x:v>20</x:v>
      </x:c>
    </x:row>
    <x:row r="172" spans="1:17">
      <x:c r="A172" s="1" t="s">
        <x:v>20</x:v>
      </x:c>
      <x:c r="B172" s="2" t="s">
        <x:v>20</x:v>
      </x:c>
      <x:c r="C172" s="2" t="s">
        <x:v>20</x:v>
      </x:c>
      <x:c r="D172" s="1" t="s">
        <x:v>20</x:v>
      </x:c>
      <x:c r="E172" s="1" t="s">
        <x:v>20</x:v>
      </x:c>
      <x:c r="F172" s="1" t="s">
        <x:v>30</x:v>
      </x:c>
      <x:c r="G172" s="1" t="s">
        <x:v>20</x:v>
      </x:c>
      <x:c r="H172" s="1" t="s">
        <x:v>161</x:v>
      </x:c>
      <x:c r="I172" s="1" t="s">
        <x:v>20</x:v>
      </x:c>
      <x:c r="J172" s="1" t="s">
        <x:v>20</x:v>
      </x:c>
      <x:c r="K172" s="1" t="s">
        <x:v>20</x:v>
      </x:c>
      <x:c r="L172" s="1" t="s">
        <x:v>20</x:v>
      </x:c>
      <x:c r="M172" s="1" t="s">
        <x:v>20</x:v>
      </x:c>
      <x:c r="N172" s="1" t="s">
        <x:v>20</x:v>
      </x:c>
      <x:c r="O172" s="1" t="s">
        <x:v>20</x:v>
      </x:c>
      <x:c r="P172" s="1" t="s">
        <x:v>20</x:v>
      </x:c>
      <x:c r="Q172" s="1" t="s">
        <x:v>20</x:v>
      </x:c>
    </x:row>
    <x:row r="173" spans="1:17">
      <x:c r="A173" s="1" t="s">
        <x:v>175</x:v>
      </x:c>
      <x:c r="B173" s="2" t="s">
        <x:v>154</x:v>
      </x:c>
      <x:c r="C173" s="2">
        <x:f>HYPERLINK("https://team-w7jm.testit.software/projects/1/tests/159", "Запрос отрицательного id")</x:f>
      </x:c>
      <x:c r="D173" s="1" t="s">
        <x:v>19</x:v>
      </x:c>
      <x:c r="E173" s="1" t="s">
        <x:v>20</x:v>
      </x:c>
      <x:c r="F173" s="1" t="s">
        <x:v>20</x:v>
      </x:c>
      <x:c r="G173" s="1" t="s">
        <x:v>20</x:v>
      </x:c>
      <x:c r="H173" s="1" t="s">
        <x:v>20</x:v>
      </x:c>
      <x:c r="I173" s="1" t="s">
        <x:v>20</x:v>
      </x:c>
      <x:c r="J173" s="1" t="s">
        <x:v>20</x:v>
      </x:c>
      <x:c r="K173" s="1" t="s">
        <x:v>20</x:v>
      </x:c>
      <x:c r="L173" s="1" t="s">
        <x:v>21</x:v>
      </x:c>
      <x:c r="M173" s="1" t="s">
        <x:v>22</x:v>
      </x:c>
      <x:c r="N173" s="1" t="s">
        <x:v>176</x:v>
      </x:c>
      <x:c r="O173" s="1" t="s">
        <x:v>24</x:v>
      </x:c>
      <x:c r="P173" s="1" t="s">
        <x:v>25</x:v>
      </x:c>
      <x:c r="Q173" s="1" t="s">
        <x:v>20</x:v>
      </x:c>
    </x:row>
    <x:row r="174" spans="1:17">
      <x:c r="A174" s="1" t="s">
        <x:v>20</x:v>
      </x:c>
      <x:c r="B174" s="2" t="s">
        <x:v>20</x:v>
      </x:c>
      <x:c r="C174" s="2" t="s">
        <x:v>20</x:v>
      </x:c>
      <x:c r="D174" s="1" t="s">
        <x:v>20</x:v>
      </x:c>
      <x:c r="E174" s="1" t="s">
        <x:v>26</x:v>
      </x:c>
      <x:c r="F174" s="1" t="s">
        <x:v>20</x:v>
      </x:c>
      <x:c r="G174" s="1" t="s">
        <x:v>20</x:v>
      </x:c>
      <x:c r="H174" s="1" t="s">
        <x:v>27</x:v>
      </x:c>
      <x:c r="I174" s="1" t="s">
        <x:v>20</x:v>
      </x:c>
      <x:c r="J174" s="1" t="s">
        <x:v>20</x:v>
      </x:c>
      <x:c r="K174" s="1" t="s">
        <x:v>20</x:v>
      </x:c>
      <x:c r="L174" s="1" t="s">
        <x:v>20</x:v>
      </x:c>
      <x:c r="M174" s="1" t="s">
        <x:v>20</x:v>
      </x:c>
      <x:c r="N174" s="1" t="s">
        <x:v>20</x:v>
      </x:c>
      <x:c r="O174" s="1" t="s">
        <x:v>20</x:v>
      </x:c>
      <x:c r="P174" s="1" t="s">
        <x:v>20</x:v>
      </x:c>
      <x:c r="Q174" s="1" t="s">
        <x:v>20</x:v>
      </x:c>
    </x:row>
    <x:row r="175" spans="1:17">
      <x:c r="A175" s="1" t="s">
        <x:v>20</x:v>
      </x:c>
      <x:c r="B175" s="2" t="s">
        <x:v>20</x:v>
      </x:c>
      <x:c r="C175" s="2" t="s">
        <x:v>20</x:v>
      </x:c>
      <x:c r="D175" s="1" t="s">
        <x:v>20</x:v>
      </x:c>
      <x:c r="E175" s="1" t="s">
        <x:v>20</x:v>
      </x:c>
      <x:c r="F175" s="2" t="s">
        <x:v>167</x:v>
      </x:c>
      <x:c r="G175" s="1" t="s">
        <x:v>20</x:v>
      </x:c>
      <x:c r="H175" s="1" t="s">
        <x:v>29</x:v>
      </x:c>
      <x:c r="I175" s="1" t="s">
        <x:v>20</x:v>
      </x:c>
      <x:c r="J175" s="1" t="s">
        <x:v>20</x:v>
      </x:c>
      <x:c r="K175" s="1" t="s">
        <x:v>20</x:v>
      </x:c>
      <x:c r="L175" s="1" t="s">
        <x:v>20</x:v>
      </x:c>
      <x:c r="M175" s="1" t="s">
        <x:v>20</x:v>
      </x:c>
      <x:c r="N175" s="1" t="s">
        <x:v>20</x:v>
      </x:c>
      <x:c r="O175" s="1" t="s">
        <x:v>20</x:v>
      </x:c>
      <x:c r="P175" s="1" t="s">
        <x:v>20</x:v>
      </x:c>
      <x:c r="Q175" s="1" t="s">
        <x:v>20</x:v>
      </x:c>
    </x:row>
    <x:row r="176" spans="1:17">
      <x:c r="A176" s="1" t="s">
        <x:v>20</x:v>
      </x:c>
      <x:c r="B176" s="2" t="s">
        <x:v>20</x:v>
      </x:c>
      <x:c r="C176" s="2" t="s">
        <x:v>20</x:v>
      </x:c>
      <x:c r="D176" s="1" t="s">
        <x:v>20</x:v>
      </x:c>
      <x:c r="E176" s="1" t="s">
        <x:v>20</x:v>
      </x:c>
      <x:c r="F176" s="1" t="s">
        <x:v>30</x:v>
      </x:c>
      <x:c r="G176" s="1" t="s">
        <x:v>20</x:v>
      </x:c>
      <x:c r="H176" s="1" t="s">
        <x:v>161</x:v>
      </x:c>
      <x:c r="I176" s="1" t="s">
        <x:v>20</x:v>
      </x:c>
      <x:c r="J176" s="1" t="s">
        <x:v>20</x:v>
      </x:c>
      <x:c r="K176" s="1" t="s">
        <x:v>20</x:v>
      </x:c>
      <x:c r="L176" s="1" t="s">
        <x:v>20</x:v>
      </x:c>
      <x:c r="M176" s="1" t="s">
        <x:v>20</x:v>
      </x:c>
      <x:c r="N176" s="1" t="s">
        <x:v>20</x:v>
      </x:c>
      <x:c r="O176" s="1" t="s">
        <x:v>20</x:v>
      </x:c>
      <x:c r="P176" s="1" t="s">
        <x:v>20</x:v>
      </x:c>
      <x:c r="Q176" s="1" t="s">
        <x:v>20</x:v>
      </x:c>
    </x:row>
    <x:row r="177" spans="1:17">
      <x:c r="A177" s="1" t="s">
        <x:v>177</x:v>
      </x:c>
      <x:c r="B177" s="2" t="s">
        <x:v>154</x:v>
      </x:c>
      <x:c r="C177" s="2">
        <x:f>HYPERLINK("https://team-w7jm.testit.software/projects/1/tests/160", "Запрос бронирования по id XML")</x:f>
      </x:c>
      <x:c r="D177" s="1" t="s">
        <x:v>19</x:v>
      </x:c>
      <x:c r="E177" s="1" t="s">
        <x:v>20</x:v>
      </x:c>
      <x:c r="F177" s="1" t="s">
        <x:v>20</x:v>
      </x:c>
      <x:c r="G177" s="1" t="s">
        <x:v>20</x:v>
      </x:c>
      <x:c r="H177" s="1" t="s">
        <x:v>20</x:v>
      </x:c>
      <x:c r="I177" s="1" t="s">
        <x:v>20</x:v>
      </x:c>
      <x:c r="J177" s="1" t="s">
        <x:v>20</x:v>
      </x:c>
      <x:c r="K177" s="1" t="s">
        <x:v>20</x:v>
      </x:c>
      <x:c r="L177" s="1" t="s">
        <x:v>21</x:v>
      </x:c>
      <x:c r="M177" s="1" t="s">
        <x:v>22</x:v>
      </x:c>
      <x:c r="N177" s="1" t="s">
        <x:v>178</x:v>
      </x:c>
      <x:c r="O177" s="1" t="s">
        <x:v>24</x:v>
      </x:c>
      <x:c r="P177" s="1" t="s">
        <x:v>25</x:v>
      </x:c>
      <x:c r="Q177" s="1" t="s">
        <x:v>20</x:v>
      </x:c>
    </x:row>
    <x:row r="178" spans="1:17">
      <x:c r="A178" s="1" t="s">
        <x:v>20</x:v>
      </x:c>
      <x:c r="B178" s="2" t="s">
        <x:v>20</x:v>
      </x:c>
      <x:c r="C178" s="2" t="s">
        <x:v>20</x:v>
      </x:c>
      <x:c r="D178" s="1" t="s">
        <x:v>20</x:v>
      </x:c>
      <x:c r="E178" s="1" t="s">
        <x:v>26</x:v>
      </x:c>
      <x:c r="F178" s="1" t="s">
        <x:v>20</x:v>
      </x:c>
      <x:c r="G178" s="1" t="s">
        <x:v>20</x:v>
      </x:c>
      <x:c r="H178" s="1" t="s">
        <x:v>27</x:v>
      </x:c>
      <x:c r="I178" s="1" t="s">
        <x:v>20</x:v>
      </x:c>
      <x:c r="J178" s="1" t="s">
        <x:v>20</x:v>
      </x:c>
      <x:c r="K178" s="1" t="s">
        <x:v>20</x:v>
      </x:c>
      <x:c r="L178" s="1" t="s">
        <x:v>20</x:v>
      </x:c>
      <x:c r="M178" s="1" t="s">
        <x:v>20</x:v>
      </x:c>
      <x:c r="N178" s="1" t="s">
        <x:v>20</x:v>
      </x:c>
      <x:c r="O178" s="1" t="s">
        <x:v>20</x:v>
      </x:c>
      <x:c r="P178" s="1" t="s">
        <x:v>20</x:v>
      </x:c>
      <x:c r="Q178" s="1" t="s">
        <x:v>20</x:v>
      </x:c>
    </x:row>
    <x:row r="179" spans="1:17">
      <x:c r="A179" s="1" t="s">
        <x:v>20</x:v>
      </x:c>
      <x:c r="B179" s="2" t="s">
        <x:v>20</x:v>
      </x:c>
      <x:c r="C179" s="2" t="s">
        <x:v>20</x:v>
      </x:c>
      <x:c r="D179" s="1" t="s">
        <x:v>20</x:v>
      </x:c>
      <x:c r="E179" s="1" t="s">
        <x:v>20</x:v>
      </x:c>
      <x:c r="F179" s="2" t="s">
        <x:v>179</x:v>
      </x:c>
      <x:c r="G179" s="1" t="s">
        <x:v>20</x:v>
      </x:c>
      <x:c r="H179" s="1" t="s">
        <x:v>29</x:v>
      </x:c>
      <x:c r="I179" s="1" t="s">
        <x:v>20</x:v>
      </x:c>
      <x:c r="J179" s="1" t="s">
        <x:v>20</x:v>
      </x:c>
      <x:c r="K179" s="1" t="s">
        <x:v>20</x:v>
      </x:c>
      <x:c r="L179" s="1" t="s">
        <x:v>20</x:v>
      </x:c>
      <x:c r="M179" s="1" t="s">
        <x:v>20</x:v>
      </x:c>
      <x:c r="N179" s="1" t="s">
        <x:v>20</x:v>
      </x:c>
      <x:c r="O179" s="1" t="s">
        <x:v>20</x:v>
      </x:c>
      <x:c r="P179" s="1" t="s">
        <x:v>20</x:v>
      </x:c>
      <x:c r="Q179" s="1" t="s">
        <x:v>20</x:v>
      </x:c>
    </x:row>
    <x:row r="180" spans="1:17">
      <x:c r="A180" s="1" t="s">
        <x:v>20</x:v>
      </x:c>
      <x:c r="B180" s="2" t="s">
        <x:v>20</x:v>
      </x:c>
      <x:c r="C180" s="2" t="s">
        <x:v>20</x:v>
      </x:c>
      <x:c r="D180" s="1" t="s">
        <x:v>20</x:v>
      </x:c>
      <x:c r="E180" s="1" t="s">
        <x:v>20</x:v>
      </x:c>
      <x:c r="F180" s="1" t="s">
        <x:v>30</x:v>
      </x:c>
      <x:c r="G180" s="1" t="s">
        <x:v>20</x:v>
      </x:c>
      <x:c r="H180" s="1" t="s">
        <x:v>180</x:v>
      </x:c>
      <x:c r="I180" s="1" t="s">
        <x:v>20</x:v>
      </x:c>
      <x:c r="J180" s="1" t="s">
        <x:v>20</x:v>
      </x:c>
      <x:c r="K180" s="1" t="s">
        <x:v>20</x:v>
      </x:c>
      <x:c r="L180" s="1" t="s">
        <x:v>20</x:v>
      </x:c>
      <x:c r="M180" s="1" t="s">
        <x:v>20</x:v>
      </x:c>
      <x:c r="N180" s="1" t="s">
        <x:v>20</x:v>
      </x:c>
      <x:c r="O180" s="1" t="s">
        <x:v>20</x:v>
      </x:c>
      <x:c r="P180" s="1" t="s">
        <x:v>20</x:v>
      </x:c>
      <x:c r="Q180" s="1" t="s">
        <x:v>20</x:v>
      </x:c>
    </x:row>
    <x:row r="181" spans="1:17">
      <x:c r="A181" s="1" t="s">
        <x:v>181</x:v>
      </x:c>
      <x:c r="B181" s="2" t="s">
        <x:v>182</x:v>
      </x:c>
      <x:c r="C181" s="2">
        <x:f>HYPERLINK("https://team-w7jm.testit.software/projects/1/tests/161", "Создание бронирования")</x:f>
      </x:c>
      <x:c r="D181" s="1" t="s">
        <x:v>19</x:v>
      </x:c>
      <x:c r="E181" s="1" t="s">
        <x:v>20</x:v>
      </x:c>
      <x:c r="F181" s="1" t="s">
        <x:v>20</x:v>
      </x:c>
      <x:c r="G181" s="1" t="s">
        <x:v>20</x:v>
      </x:c>
      <x:c r="H181" s="1" t="s">
        <x:v>20</x:v>
      </x:c>
      <x:c r="I181" s="1" t="s">
        <x:v>20</x:v>
      </x:c>
      <x:c r="J181" s="1" t="s">
        <x:v>20</x:v>
      </x:c>
      <x:c r="K181" s="1" t="s">
        <x:v>20</x:v>
      </x:c>
      <x:c r="L181" s="1" t="s">
        <x:v>21</x:v>
      </x:c>
      <x:c r="M181" s="1" t="s">
        <x:v>22</x:v>
      </x:c>
      <x:c r="N181" s="1" t="s">
        <x:v>183</x:v>
      </x:c>
      <x:c r="O181" s="1" t="s">
        <x:v>24</x:v>
      </x:c>
      <x:c r="P181" s="1" t="s">
        <x:v>25</x:v>
      </x:c>
      <x:c r="Q181" s="1" t="s">
        <x:v>20</x:v>
      </x:c>
    </x:row>
    <x:row r="182" spans="1:17">
      <x:c r="A182" s="1" t="s">
        <x:v>20</x:v>
      </x:c>
      <x:c r="B182" s="2" t="s">
        <x:v>20</x:v>
      </x:c>
      <x:c r="C182" s="2" t="s">
        <x:v>20</x:v>
      </x:c>
      <x:c r="D182" s="1" t="s">
        <x:v>20</x:v>
      </x:c>
      <x:c r="E182" s="1" t="s">
        <x:v>26</x:v>
      </x:c>
      <x:c r="F182" s="1" t="s">
        <x:v>20</x:v>
      </x:c>
      <x:c r="G182" s="1" t="s">
        <x:v>20</x:v>
      </x:c>
      <x:c r="H182" s="1" t="s">
        <x:v>27</x:v>
      </x:c>
      <x:c r="I182" s="1" t="s">
        <x:v>20</x:v>
      </x:c>
      <x:c r="J182" s="1" t="s">
        <x:v>20</x:v>
      </x:c>
      <x:c r="K182" s="1" t="s">
        <x:v>20</x:v>
      </x:c>
      <x:c r="L182" s="1" t="s">
        <x:v>20</x:v>
      </x:c>
      <x:c r="M182" s="1" t="s">
        <x:v>20</x:v>
      </x:c>
      <x:c r="N182" s="1" t="s">
        <x:v>20</x:v>
      </x:c>
      <x:c r="O182" s="1" t="s">
        <x:v>20</x:v>
      </x:c>
      <x:c r="P182" s="1" t="s">
        <x:v>20</x:v>
      </x:c>
      <x:c r="Q182" s="1" t="s">
        <x:v>20</x:v>
      </x:c>
    </x:row>
    <x:row r="183" spans="1:17">
      <x:c r="A183" s="1" t="s">
        <x:v>20</x:v>
      </x:c>
      <x:c r="B183" s="2" t="s">
        <x:v>20</x:v>
      </x:c>
      <x:c r="C183" s="2" t="s">
        <x:v>20</x:v>
      </x:c>
      <x:c r="D183" s="1" t="s">
        <x:v>20</x:v>
      </x:c>
      <x:c r="E183" s="1" t="s">
        <x:v>20</x:v>
      </x:c>
      <x:c r="F183" s="2" t="s">
        <x:v>184</x:v>
      </x:c>
      <x:c r="G183" s="1" t="s">
        <x:v>20</x:v>
      </x:c>
      <x:c r="H183" s="1" t="s">
        <x:v>185</x:v>
      </x:c>
      <x:c r="I183" s="1" t="s">
        <x:v>20</x:v>
      </x:c>
      <x:c r="J183" s="1" t="s">
        <x:v>20</x:v>
      </x:c>
      <x:c r="K183" s="1" t="s">
        <x:v>20</x:v>
      </x:c>
      <x:c r="L183" s="1" t="s">
        <x:v>20</x:v>
      </x:c>
      <x:c r="M183" s="1" t="s">
        <x:v>20</x:v>
      </x:c>
      <x:c r="N183" s="1" t="s">
        <x:v>20</x:v>
      </x:c>
      <x:c r="O183" s="1" t="s">
        <x:v>20</x:v>
      </x:c>
      <x:c r="P183" s="1" t="s">
        <x:v>20</x:v>
      </x:c>
      <x:c r="Q183" s="1" t="s">
        <x:v>20</x:v>
      </x:c>
    </x:row>
    <x:row r="184" spans="1:17">
      <x:c r="A184" s="1" t="s">
        <x:v>186</x:v>
      </x:c>
      <x:c r="B184" s="2" t="s">
        <x:v>182</x:v>
      </x:c>
      <x:c r="C184" s="2">
        <x:f>HYPERLINK("https://team-w7jm.testit.software/projects/1/tests/162", "Создание бронирования без поля additionalneeds")</x:f>
      </x:c>
      <x:c r="D184" s="1" t="s">
        <x:v>19</x:v>
      </x:c>
      <x:c r="E184" s="1" t="s">
        <x:v>20</x:v>
      </x:c>
      <x:c r="F184" s="1" t="s">
        <x:v>20</x:v>
      </x:c>
      <x:c r="G184" s="1" t="s">
        <x:v>20</x:v>
      </x:c>
      <x:c r="H184" s="1" t="s">
        <x:v>20</x:v>
      </x:c>
      <x:c r="I184" s="1" t="s">
        <x:v>20</x:v>
      </x:c>
      <x:c r="J184" s="1" t="s">
        <x:v>20</x:v>
      </x:c>
      <x:c r="K184" s="1" t="s">
        <x:v>20</x:v>
      </x:c>
      <x:c r="L184" s="1" t="s">
        <x:v>21</x:v>
      </x:c>
      <x:c r="M184" s="1" t="s">
        <x:v>22</x:v>
      </x:c>
      <x:c r="N184" s="1" t="s">
        <x:v>187</x:v>
      </x:c>
      <x:c r="O184" s="1" t="s">
        <x:v>24</x:v>
      </x:c>
      <x:c r="P184" s="1" t="s">
        <x:v>25</x:v>
      </x:c>
      <x:c r="Q184" s="1" t="s">
        <x:v>20</x:v>
      </x:c>
    </x:row>
    <x:row r="185" spans="1:17">
      <x:c r="A185" s="1" t="s">
        <x:v>20</x:v>
      </x:c>
      <x:c r="B185" s="2" t="s">
        <x:v>20</x:v>
      </x:c>
      <x:c r="C185" s="2" t="s">
        <x:v>20</x:v>
      </x:c>
      <x:c r="D185" s="1" t="s">
        <x:v>20</x:v>
      </x:c>
      <x:c r="E185" s="1" t="s">
        <x:v>26</x:v>
      </x:c>
      <x:c r="F185" s="1" t="s">
        <x:v>20</x:v>
      </x:c>
      <x:c r="G185" s="1" t="s">
        <x:v>20</x:v>
      </x:c>
      <x:c r="H185" s="1" t="s">
        <x:v>27</x:v>
      </x:c>
      <x:c r="I185" s="1" t="s">
        <x:v>20</x:v>
      </x:c>
      <x:c r="J185" s="1" t="s">
        <x:v>20</x:v>
      </x:c>
      <x:c r="K185" s="1" t="s">
        <x:v>20</x:v>
      </x:c>
      <x:c r="L185" s="1" t="s">
        <x:v>20</x:v>
      </x:c>
      <x:c r="M185" s="1" t="s">
        <x:v>20</x:v>
      </x:c>
      <x:c r="N185" s="1" t="s">
        <x:v>20</x:v>
      </x:c>
      <x:c r="O185" s="1" t="s">
        <x:v>20</x:v>
      </x:c>
      <x:c r="P185" s="1" t="s">
        <x:v>20</x:v>
      </x:c>
      <x:c r="Q185" s="1" t="s">
        <x:v>20</x:v>
      </x:c>
    </x:row>
    <x:row r="186" spans="1:17">
      <x:c r="A186" s="1" t="s">
        <x:v>20</x:v>
      </x:c>
      <x:c r="B186" s="2" t="s">
        <x:v>20</x:v>
      </x:c>
      <x:c r="C186" s="2" t="s">
        <x:v>20</x:v>
      </x:c>
      <x:c r="D186" s="1" t="s">
        <x:v>20</x:v>
      </x:c>
      <x:c r="E186" s="1" t="s">
        <x:v>20</x:v>
      </x:c>
      <x:c r="F186" s="2" t="s">
        <x:v>188</x:v>
      </x:c>
      <x:c r="G186" s="1" t="s">
        <x:v>20</x:v>
      </x:c>
      <x:c r="H186" s="1" t="s">
        <x:v>185</x:v>
      </x:c>
      <x:c r="I186" s="1" t="s">
        <x:v>20</x:v>
      </x:c>
      <x:c r="J186" s="1" t="s">
        <x:v>20</x:v>
      </x:c>
      <x:c r="K186" s="1" t="s">
        <x:v>20</x:v>
      </x:c>
      <x:c r="L186" s="1" t="s">
        <x:v>20</x:v>
      </x:c>
      <x:c r="M186" s="1" t="s">
        <x:v>20</x:v>
      </x:c>
      <x:c r="N186" s="1" t="s">
        <x:v>20</x:v>
      </x:c>
      <x:c r="O186" s="1" t="s">
        <x:v>20</x:v>
      </x:c>
      <x:c r="P186" s="1" t="s">
        <x:v>20</x:v>
      </x:c>
      <x:c r="Q186" s="1" t="s">
        <x:v>20</x:v>
      </x:c>
    </x:row>
    <x:row r="187" spans="1:17">
      <x:c r="A187" s="1" t="s">
        <x:v>189</x:v>
      </x:c>
      <x:c r="B187" s="2" t="s">
        <x:v>182</x:v>
      </x:c>
      <x:c r="C187" s="2">
        <x:f>HYPERLINK("https://team-w7jm.testit.software/projects/1/tests/163", "Создание бронирования где depositpaid false")</x:f>
      </x:c>
      <x:c r="D187" s="1" t="s">
        <x:v>19</x:v>
      </x:c>
      <x:c r="E187" s="1" t="s">
        <x:v>20</x:v>
      </x:c>
      <x:c r="F187" s="1" t="s">
        <x:v>20</x:v>
      </x:c>
      <x:c r="G187" s="1" t="s">
        <x:v>20</x:v>
      </x:c>
      <x:c r="H187" s="1" t="s">
        <x:v>20</x:v>
      </x:c>
      <x:c r="I187" s="1" t="s">
        <x:v>20</x:v>
      </x:c>
      <x:c r="J187" s="1" t="s">
        <x:v>20</x:v>
      </x:c>
      <x:c r="K187" s="1" t="s">
        <x:v>20</x:v>
      </x:c>
      <x:c r="L187" s="1" t="s">
        <x:v>21</x:v>
      </x:c>
      <x:c r="M187" s="1" t="s">
        <x:v>22</x:v>
      </x:c>
      <x:c r="N187" s="1" t="s">
        <x:v>190</x:v>
      </x:c>
      <x:c r="O187" s="1" t="s">
        <x:v>24</x:v>
      </x:c>
      <x:c r="P187" s="1" t="s">
        <x:v>25</x:v>
      </x:c>
      <x:c r="Q187" s="1" t="s">
        <x:v>20</x:v>
      </x:c>
    </x:row>
    <x:row r="188" spans="1:17">
      <x:c r="A188" s="1" t="s">
        <x:v>20</x:v>
      </x:c>
      <x:c r="B188" s="2" t="s">
        <x:v>20</x:v>
      </x:c>
      <x:c r="C188" s="2" t="s">
        <x:v>20</x:v>
      </x:c>
      <x:c r="D188" s="1" t="s">
        <x:v>20</x:v>
      </x:c>
      <x:c r="E188" s="1" t="s">
        <x:v>26</x:v>
      </x:c>
      <x:c r="F188" s="1" t="s">
        <x:v>20</x:v>
      </x:c>
      <x:c r="G188" s="1" t="s">
        <x:v>20</x:v>
      </x:c>
      <x:c r="H188" s="1" t="s">
        <x:v>27</x:v>
      </x:c>
      <x:c r="I188" s="1" t="s">
        <x:v>20</x:v>
      </x:c>
      <x:c r="J188" s="1" t="s">
        <x:v>20</x:v>
      </x:c>
      <x:c r="K188" s="1" t="s">
        <x:v>20</x:v>
      </x:c>
      <x:c r="L188" s="1" t="s">
        <x:v>20</x:v>
      </x:c>
      <x:c r="M188" s="1" t="s">
        <x:v>20</x:v>
      </x:c>
      <x:c r="N188" s="1" t="s">
        <x:v>20</x:v>
      </x:c>
      <x:c r="O188" s="1" t="s">
        <x:v>20</x:v>
      </x:c>
      <x:c r="P188" s="1" t="s">
        <x:v>20</x:v>
      </x:c>
      <x:c r="Q188" s="1" t="s">
        <x:v>20</x:v>
      </x:c>
    </x:row>
    <x:row r="189" spans="1:17">
      <x:c r="A189" s="1" t="s">
        <x:v>20</x:v>
      </x:c>
      <x:c r="B189" s="2" t="s">
        <x:v>20</x:v>
      </x:c>
      <x:c r="C189" s="2" t="s">
        <x:v>20</x:v>
      </x:c>
      <x:c r="D189" s="1" t="s">
        <x:v>20</x:v>
      </x:c>
      <x:c r="E189" s="1" t="s">
        <x:v>20</x:v>
      </x:c>
      <x:c r="F189" s="2" t="s">
        <x:v>191</x:v>
      </x:c>
      <x:c r="G189" s="1" t="s">
        <x:v>20</x:v>
      </x:c>
      <x:c r="H189" s="1" t="s">
        <x:v>185</x:v>
      </x:c>
      <x:c r="I189" s="1" t="s">
        <x:v>20</x:v>
      </x:c>
      <x:c r="J189" s="1" t="s">
        <x:v>20</x:v>
      </x:c>
      <x:c r="K189" s="1" t="s">
        <x:v>20</x:v>
      </x:c>
      <x:c r="L189" s="1" t="s">
        <x:v>20</x:v>
      </x:c>
      <x:c r="M189" s="1" t="s">
        <x:v>20</x:v>
      </x:c>
      <x:c r="N189" s="1" t="s">
        <x:v>20</x:v>
      </x:c>
      <x:c r="O189" s="1" t="s">
        <x:v>20</x:v>
      </x:c>
      <x:c r="P189" s="1" t="s">
        <x:v>20</x:v>
      </x:c>
      <x:c r="Q189" s="1" t="s">
        <x:v>20</x:v>
      </x:c>
    </x:row>
    <x:row r="190" spans="1:17">
      <x:c r="A190" s="1" t="s">
        <x:v>192</x:v>
      </x:c>
      <x:c r="B190" s="2" t="s">
        <x:v>182</x:v>
      </x:c>
      <x:c r="C190" s="2">
        <x:f>HYPERLINK("https://team-w7jm.testit.software/projects/1/tests/164", "Создание бронирования где firstname и lastname равно одной букве")</x:f>
      </x:c>
      <x:c r="D190" s="1" t="s">
        <x:v>19</x:v>
      </x:c>
      <x:c r="E190" s="1" t="s">
        <x:v>20</x:v>
      </x:c>
      <x:c r="F190" s="1" t="s">
        <x:v>20</x:v>
      </x:c>
      <x:c r="G190" s="1" t="s">
        <x:v>20</x:v>
      </x:c>
      <x:c r="H190" s="1" t="s">
        <x:v>20</x:v>
      </x:c>
      <x:c r="I190" s="1" t="s">
        <x:v>20</x:v>
      </x:c>
      <x:c r="J190" s="1" t="s">
        <x:v>20</x:v>
      </x:c>
      <x:c r="K190" s="1" t="s">
        <x:v>20</x:v>
      </x:c>
      <x:c r="L190" s="1" t="s">
        <x:v>21</x:v>
      </x:c>
      <x:c r="M190" s="1" t="s">
        <x:v>22</x:v>
      </x:c>
      <x:c r="N190" s="1" t="s">
        <x:v>193</x:v>
      </x:c>
      <x:c r="O190" s="1" t="s">
        <x:v>24</x:v>
      </x:c>
      <x:c r="P190" s="1" t="s">
        <x:v>25</x:v>
      </x:c>
      <x:c r="Q190" s="1" t="s">
        <x:v>20</x:v>
      </x:c>
    </x:row>
    <x:row r="191" spans="1:17">
      <x:c r="A191" s="1" t="s">
        <x:v>20</x:v>
      </x:c>
      <x:c r="B191" s="2" t="s">
        <x:v>20</x:v>
      </x:c>
      <x:c r="C191" s="2" t="s">
        <x:v>20</x:v>
      </x:c>
      <x:c r="D191" s="1" t="s">
        <x:v>20</x:v>
      </x:c>
      <x:c r="E191" s="1" t="s">
        <x:v>26</x:v>
      </x:c>
      <x:c r="F191" s="1" t="s">
        <x:v>20</x:v>
      </x:c>
      <x:c r="G191" s="1" t="s">
        <x:v>20</x:v>
      </x:c>
      <x:c r="H191" s="1" t="s">
        <x:v>27</x:v>
      </x:c>
      <x:c r="I191" s="1" t="s">
        <x:v>20</x:v>
      </x:c>
      <x:c r="J191" s="1" t="s">
        <x:v>20</x:v>
      </x:c>
      <x:c r="K191" s="1" t="s">
        <x:v>20</x:v>
      </x:c>
      <x:c r="L191" s="1" t="s">
        <x:v>20</x:v>
      </x:c>
      <x:c r="M191" s="1" t="s">
        <x:v>20</x:v>
      </x:c>
      <x:c r="N191" s="1" t="s">
        <x:v>20</x:v>
      </x:c>
      <x:c r="O191" s="1" t="s">
        <x:v>20</x:v>
      </x:c>
      <x:c r="P191" s="1" t="s">
        <x:v>20</x:v>
      </x:c>
      <x:c r="Q191" s="1" t="s">
        <x:v>20</x:v>
      </x:c>
    </x:row>
    <x:row r="192" spans="1:17">
      <x:c r="A192" s="1" t="s">
        <x:v>20</x:v>
      </x:c>
      <x:c r="B192" s="2" t="s">
        <x:v>20</x:v>
      </x:c>
      <x:c r="C192" s="2" t="s">
        <x:v>20</x:v>
      </x:c>
      <x:c r="D192" s="1" t="s">
        <x:v>20</x:v>
      </x:c>
      <x:c r="E192" s="1" t="s">
        <x:v>20</x:v>
      </x:c>
      <x:c r="F192" s="2" t="s">
        <x:v>194</x:v>
      </x:c>
      <x:c r="G192" s="1" t="s">
        <x:v>20</x:v>
      </x:c>
      <x:c r="H192" s="1" t="s">
        <x:v>185</x:v>
      </x:c>
      <x:c r="I192" s="1" t="s">
        <x:v>20</x:v>
      </x:c>
      <x:c r="J192" s="1" t="s">
        <x:v>20</x:v>
      </x:c>
      <x:c r="K192" s="1" t="s">
        <x:v>20</x:v>
      </x:c>
      <x:c r="L192" s="1" t="s">
        <x:v>20</x:v>
      </x:c>
      <x:c r="M192" s="1" t="s">
        <x:v>20</x:v>
      </x:c>
      <x:c r="N192" s="1" t="s">
        <x:v>20</x:v>
      </x:c>
      <x:c r="O192" s="1" t="s">
        <x:v>20</x:v>
      </x:c>
      <x:c r="P192" s="1" t="s">
        <x:v>20</x:v>
      </x:c>
      <x:c r="Q192" s="1" t="s">
        <x:v>20</x:v>
      </x:c>
    </x:row>
    <x:row r="193" spans="1:17">
      <x:c r="A193" s="1" t="s">
        <x:v>195</x:v>
      </x:c>
      <x:c r="B193" s="2" t="s">
        <x:v>182</x:v>
      </x:c>
      <x:c r="C193" s="2">
        <x:f>HYPERLINK("https://team-w7jm.testit.software/projects/1/tests/165", "Создание бронирования без поля totalprice")</x:f>
      </x:c>
      <x:c r="D193" s="1" t="s">
        <x:v>19</x:v>
      </x:c>
      <x:c r="E193" s="1" t="s">
        <x:v>20</x:v>
      </x:c>
      <x:c r="F193" s="1" t="s">
        <x:v>20</x:v>
      </x:c>
      <x:c r="G193" s="1" t="s">
        <x:v>20</x:v>
      </x:c>
      <x:c r="H193" s="1" t="s">
        <x:v>20</x:v>
      </x:c>
      <x:c r="I193" s="1" t="s">
        <x:v>20</x:v>
      </x:c>
      <x:c r="J193" s="1" t="s">
        <x:v>20</x:v>
      </x:c>
      <x:c r="K193" s="1" t="s">
        <x:v>20</x:v>
      </x:c>
      <x:c r="L193" s="1" t="s">
        <x:v>21</x:v>
      </x:c>
      <x:c r="M193" s="1" t="s">
        <x:v>22</x:v>
      </x:c>
      <x:c r="N193" s="1" t="s">
        <x:v>196</x:v>
      </x:c>
      <x:c r="O193" s="1" t="s">
        <x:v>24</x:v>
      </x:c>
      <x:c r="P193" s="1" t="s">
        <x:v>25</x:v>
      </x:c>
      <x:c r="Q193" s="1" t="s">
        <x:v>20</x:v>
      </x:c>
    </x:row>
    <x:row r="194" spans="1:17">
      <x:c r="A194" s="1" t="s">
        <x:v>20</x:v>
      </x:c>
      <x:c r="B194" s="2" t="s">
        <x:v>20</x:v>
      </x:c>
      <x:c r="C194" s="2" t="s">
        <x:v>20</x:v>
      </x:c>
      <x:c r="D194" s="1" t="s">
        <x:v>20</x:v>
      </x:c>
      <x:c r="E194" s="1" t="s">
        <x:v>26</x:v>
      </x:c>
      <x:c r="F194" s="1" t="s">
        <x:v>20</x:v>
      </x:c>
      <x:c r="G194" s="1" t="s">
        <x:v>20</x:v>
      </x:c>
      <x:c r="H194" s="1" t="s">
        <x:v>27</x:v>
      </x:c>
      <x:c r="I194" s="1" t="s">
        <x:v>20</x:v>
      </x:c>
      <x:c r="J194" s="1" t="s">
        <x:v>20</x:v>
      </x:c>
      <x:c r="K194" s="1" t="s">
        <x:v>20</x:v>
      </x:c>
      <x:c r="L194" s="1" t="s">
        <x:v>20</x:v>
      </x:c>
      <x:c r="M194" s="1" t="s">
        <x:v>20</x:v>
      </x:c>
      <x:c r="N194" s="1" t="s">
        <x:v>20</x:v>
      </x:c>
      <x:c r="O194" s="1" t="s">
        <x:v>20</x:v>
      </x:c>
      <x:c r="P194" s="1" t="s">
        <x:v>20</x:v>
      </x:c>
      <x:c r="Q194" s="1" t="s">
        <x:v>20</x:v>
      </x:c>
    </x:row>
    <x:row r="195" spans="1:17">
      <x:c r="A195" s="1" t="s">
        <x:v>20</x:v>
      </x:c>
      <x:c r="B195" s="2" t="s">
        <x:v>20</x:v>
      </x:c>
      <x:c r="C195" s="2" t="s">
        <x:v>20</x:v>
      </x:c>
      <x:c r="D195" s="1" t="s">
        <x:v>20</x:v>
      </x:c>
      <x:c r="E195" s="1" t="s">
        <x:v>20</x:v>
      </x:c>
      <x:c r="F195" s="2" t="s">
        <x:v>197</x:v>
      </x:c>
      <x:c r="G195" s="1" t="s">
        <x:v>20</x:v>
      </x:c>
      <x:c r="H195" s="1" t="s">
        <x:v>198</x:v>
      </x:c>
      <x:c r="I195" s="1" t="s">
        <x:v>20</x:v>
      </x:c>
      <x:c r="J195" s="1" t="s">
        <x:v>20</x:v>
      </x:c>
      <x:c r="K195" s="1" t="s">
        <x:v>20</x:v>
      </x:c>
      <x:c r="L195" s="1" t="s">
        <x:v>20</x:v>
      </x:c>
      <x:c r="M195" s="1" t="s">
        <x:v>20</x:v>
      </x:c>
      <x:c r="N195" s="1" t="s">
        <x:v>20</x:v>
      </x:c>
      <x:c r="O195" s="1" t="s">
        <x:v>20</x:v>
      </x:c>
      <x:c r="P195" s="1" t="s">
        <x:v>20</x:v>
      </x:c>
      <x:c r="Q195" s="1" t="s">
        <x:v>20</x:v>
      </x:c>
    </x:row>
    <x:row r="196" spans="1:17">
      <x:c r="A196" s="1" t="s">
        <x:v>199</x:v>
      </x:c>
      <x:c r="B196" s="2" t="s">
        <x:v>182</x:v>
      </x:c>
      <x:c r="C196" s="2">
        <x:f>HYPERLINK("https://team-w7jm.testit.software/projects/1/tests/166", "Ожидание ответа в формате XML")</x:f>
      </x:c>
      <x:c r="D196" s="1" t="s">
        <x:v>19</x:v>
      </x:c>
      <x:c r="E196" s="1" t="s">
        <x:v>20</x:v>
      </x:c>
      <x:c r="F196" s="1" t="s">
        <x:v>20</x:v>
      </x:c>
      <x:c r="G196" s="1" t="s">
        <x:v>20</x:v>
      </x:c>
      <x:c r="H196" s="1" t="s">
        <x:v>20</x:v>
      </x:c>
      <x:c r="I196" s="1" t="s">
        <x:v>20</x:v>
      </x:c>
      <x:c r="J196" s="1" t="s">
        <x:v>20</x:v>
      </x:c>
      <x:c r="K196" s="1" t="s">
        <x:v>20</x:v>
      </x:c>
      <x:c r="L196" s="1" t="s">
        <x:v>21</x:v>
      </x:c>
      <x:c r="M196" s="1" t="s">
        <x:v>22</x:v>
      </x:c>
      <x:c r="N196" s="1" t="s">
        <x:v>200</x:v>
      </x:c>
      <x:c r="O196" s="1" t="s">
        <x:v>24</x:v>
      </x:c>
      <x:c r="P196" s="1" t="s">
        <x:v>25</x:v>
      </x:c>
      <x:c r="Q196" s="1" t="s">
        <x:v>20</x:v>
      </x:c>
    </x:row>
    <x:row r="197" spans="1:17">
      <x:c r="A197" s="1" t="s">
        <x:v>20</x:v>
      </x:c>
      <x:c r="B197" s="2" t="s">
        <x:v>20</x:v>
      </x:c>
      <x:c r="C197" s="2" t="s">
        <x:v>20</x:v>
      </x:c>
      <x:c r="D197" s="1" t="s">
        <x:v>20</x:v>
      </x:c>
      <x:c r="E197" s="1" t="s">
        <x:v>26</x:v>
      </x:c>
      <x:c r="F197" s="1" t="s">
        <x:v>20</x:v>
      </x:c>
      <x:c r="G197" s="1" t="s">
        <x:v>20</x:v>
      </x:c>
      <x:c r="H197" s="1" t="s">
        <x:v>27</x:v>
      </x:c>
      <x:c r="I197" s="1" t="s">
        <x:v>20</x:v>
      </x:c>
      <x:c r="J197" s="1" t="s">
        <x:v>20</x:v>
      </x:c>
      <x:c r="K197" s="1" t="s">
        <x:v>20</x:v>
      </x:c>
      <x:c r="L197" s="1" t="s">
        <x:v>20</x:v>
      </x:c>
      <x:c r="M197" s="1" t="s">
        <x:v>20</x:v>
      </x:c>
      <x:c r="N197" s="1" t="s">
        <x:v>20</x:v>
      </x:c>
      <x:c r="O197" s="1" t="s">
        <x:v>20</x:v>
      </x:c>
      <x:c r="P197" s="1" t="s">
        <x:v>20</x:v>
      </x:c>
      <x:c r="Q197" s="1" t="s">
        <x:v>20</x:v>
      </x:c>
    </x:row>
    <x:row r="198" spans="1:17">
      <x:c r="A198" s="1" t="s">
        <x:v>20</x:v>
      </x:c>
      <x:c r="B198" s="2" t="s">
        <x:v>20</x:v>
      </x:c>
      <x:c r="C198" s="2" t="s">
        <x:v>20</x:v>
      </x:c>
      <x:c r="D198" s="1" t="s">
        <x:v>20</x:v>
      </x:c>
      <x:c r="E198" s="1" t="s">
        <x:v>20</x:v>
      </x:c>
      <x:c r="F198" s="2" t="s">
        <x:v>201</x:v>
      </x:c>
      <x:c r="G198" s="1" t="s">
        <x:v>20</x:v>
      </x:c>
      <x:c r="H198" s="1" t="s">
        <x:v>202</x:v>
      </x:c>
      <x:c r="I198" s="1" t="s">
        <x:v>20</x:v>
      </x:c>
      <x:c r="J198" s="1" t="s">
        <x:v>20</x:v>
      </x:c>
      <x:c r="K198" s="1" t="s">
        <x:v>20</x:v>
      </x:c>
      <x:c r="L198" s="1" t="s">
        <x:v>20</x:v>
      </x:c>
      <x:c r="M198" s="1" t="s">
        <x:v>20</x:v>
      </x:c>
      <x:c r="N198" s="1" t="s">
        <x:v>20</x:v>
      </x:c>
      <x:c r="O198" s="1" t="s">
        <x:v>20</x:v>
      </x:c>
      <x:c r="P198" s="1" t="s">
        <x:v>20</x:v>
      </x:c>
      <x:c r="Q198" s="1" t="s">
        <x:v>20</x:v>
      </x:c>
    </x:row>
    <x:row r="199" spans="1:17">
      <x:c r="A199" s="1" t="s">
        <x:v>203</x:v>
      </x:c>
      <x:c r="B199" s="2" t="s">
        <x:v>204</x:v>
      </x:c>
      <x:c r="C199" s="2">
        <x:f>HYPERLINK("https://team-w7jm.testit.software/projects/1/tests/167", "Обновление бронирования")</x:f>
      </x:c>
      <x:c r="D199" s="1" t="s">
        <x:v>19</x:v>
      </x:c>
      <x:c r="E199" s="1" t="s">
        <x:v>20</x:v>
      </x:c>
      <x:c r="F199" s="1" t="s">
        <x:v>20</x:v>
      </x:c>
      <x:c r="G199" s="1" t="s">
        <x:v>20</x:v>
      </x:c>
      <x:c r="H199" s="1" t="s">
        <x:v>20</x:v>
      </x:c>
      <x:c r="I199" s="1" t="s">
        <x:v>20</x:v>
      </x:c>
      <x:c r="J199" s="1" t="s">
        <x:v>20</x:v>
      </x:c>
      <x:c r="K199" s="1" t="s">
        <x:v>20</x:v>
      </x:c>
      <x:c r="L199" s="1" t="s">
        <x:v>21</x:v>
      </x:c>
      <x:c r="M199" s="1" t="s">
        <x:v>22</x:v>
      </x:c>
      <x:c r="N199" s="1" t="s">
        <x:v>205</x:v>
      </x:c>
      <x:c r="O199" s="1" t="s">
        <x:v>24</x:v>
      </x:c>
      <x:c r="P199" s="1" t="s">
        <x:v>25</x:v>
      </x:c>
      <x:c r="Q199" s="1" t="s">
        <x:v>20</x:v>
      </x:c>
    </x:row>
    <x:row r="200" spans="1:17">
      <x:c r="A200" s="1" t="s">
        <x:v>20</x:v>
      </x:c>
      <x:c r="B200" s="2" t="s">
        <x:v>20</x:v>
      </x:c>
      <x:c r="C200" s="2" t="s">
        <x:v>20</x:v>
      </x:c>
      <x:c r="D200" s="1" t="s">
        <x:v>20</x:v>
      </x:c>
      <x:c r="E200" s="1" t="s">
        <x:v>26</x:v>
      </x:c>
      <x:c r="F200" s="1" t="s">
        <x:v>20</x:v>
      </x:c>
      <x:c r="G200" s="1" t="s">
        <x:v>20</x:v>
      </x:c>
      <x:c r="H200" s="1" t="s">
        <x:v>27</x:v>
      </x:c>
      <x:c r="I200" s="1" t="s">
        <x:v>20</x:v>
      </x:c>
      <x:c r="J200" s="1" t="s">
        <x:v>20</x:v>
      </x:c>
      <x:c r="K200" s="1" t="s">
        <x:v>20</x:v>
      </x:c>
      <x:c r="L200" s="1" t="s">
        <x:v>20</x:v>
      </x:c>
      <x:c r="M200" s="1" t="s">
        <x:v>20</x:v>
      </x:c>
      <x:c r="N200" s="1" t="s">
        <x:v>20</x:v>
      </x:c>
      <x:c r="O200" s="1" t="s">
        <x:v>20</x:v>
      </x:c>
      <x:c r="P200" s="1" t="s">
        <x:v>20</x:v>
      </x:c>
      <x:c r="Q200" s="1" t="s">
        <x:v>20</x:v>
      </x:c>
    </x:row>
    <x:row r="201" spans="1:17">
      <x:c r="A201" s="1" t="s">
        <x:v>20</x:v>
      </x:c>
      <x:c r="B201" s="2" t="s">
        <x:v>20</x:v>
      </x:c>
      <x:c r="C201" s="2" t="s">
        <x:v>20</x:v>
      </x:c>
      <x:c r="D201" s="1" t="s">
        <x:v>20</x:v>
      </x:c>
      <x:c r="E201" s="2" t="s">
        <x:v>206</x:v>
      </x:c>
      <x:c r="F201" s="1" t="s">
        <x:v>20</x:v>
      </x:c>
      <x:c r="G201" s="1" t="s">
        <x:v>20</x:v>
      </x:c>
      <x:c r="H201" s="1" t="s">
        <x:v>207</x:v>
      </x:c>
      <x:c r="I201" s="1" t="s">
        <x:v>20</x:v>
      </x:c>
      <x:c r="J201" s="1" t="s">
        <x:v>20</x:v>
      </x:c>
      <x:c r="K201" s="1" t="s">
        <x:v>20</x:v>
      </x:c>
      <x:c r="L201" s="1" t="s">
        <x:v>20</x:v>
      </x:c>
      <x:c r="M201" s="1" t="s">
        <x:v>20</x:v>
      </x:c>
      <x:c r="N201" s="1" t="s">
        <x:v>20</x:v>
      </x:c>
      <x:c r="O201" s="1" t="s">
        <x:v>20</x:v>
      </x:c>
      <x:c r="P201" s="1" t="s">
        <x:v>20</x:v>
      </x:c>
      <x:c r="Q201" s="1" t="s">
        <x:v>20</x:v>
      </x:c>
    </x:row>
    <x:row r="202" spans="1:17">
      <x:c r="A202" s="1" t="s">
        <x:v>20</x:v>
      </x:c>
      <x:c r="B202" s="2" t="s">
        <x:v>20</x:v>
      </x:c>
      <x:c r="C202" s="2" t="s">
        <x:v>20</x:v>
      </x:c>
      <x:c r="D202" s="1" t="s">
        <x:v>20</x:v>
      </x:c>
      <x:c r="E202" s="1" t="s">
        <x:v>20</x:v>
      </x:c>
      <x:c r="F202" s="2" t="s">
        <x:v>208</x:v>
      </x:c>
      <x:c r="G202" s="1" t="s">
        <x:v>20</x:v>
      </x:c>
      <x:c r="H202" s="1" t="s">
        <x:v>209</x:v>
      </x:c>
      <x:c r="I202" s="1" t="s">
        <x:v>20</x:v>
      </x:c>
      <x:c r="J202" s="1" t="s">
        <x:v>20</x:v>
      </x:c>
      <x:c r="K202" s="1" t="s">
        <x:v>20</x:v>
      </x:c>
      <x:c r="L202" s="1" t="s">
        <x:v>20</x:v>
      </x:c>
      <x:c r="M202" s="1" t="s">
        <x:v>20</x:v>
      </x:c>
      <x:c r="N202" s="1" t="s">
        <x:v>20</x:v>
      </x:c>
      <x:c r="O202" s="1" t="s">
        <x:v>20</x:v>
      </x:c>
      <x:c r="P202" s="1" t="s">
        <x:v>20</x:v>
      </x:c>
      <x:c r="Q202" s="1" t="s">
        <x:v>20</x:v>
      </x:c>
    </x:row>
    <x:row r="203" spans="1:17">
      <x:c r="A203" s="1" t="s">
        <x:v>210</x:v>
      </x:c>
      <x:c r="B203" s="2" t="s">
        <x:v>204</x:v>
      </x:c>
      <x:c r="C203" s="2">
        <x:f>HYPERLINK("https://team-w7jm.testit.software/projects/1/tests/168", "Обновление бронирования с заголовком Auth без Cookies")</x:f>
      </x:c>
      <x:c r="D203" s="1" t="s">
        <x:v>19</x:v>
      </x:c>
      <x:c r="E203" s="1" t="s">
        <x:v>20</x:v>
      </x:c>
      <x:c r="F203" s="1" t="s">
        <x:v>20</x:v>
      </x:c>
      <x:c r="G203" s="1" t="s">
        <x:v>20</x:v>
      </x:c>
      <x:c r="H203" s="1" t="s">
        <x:v>20</x:v>
      </x:c>
      <x:c r="I203" s="1" t="s">
        <x:v>20</x:v>
      </x:c>
      <x:c r="J203" s="1" t="s">
        <x:v>20</x:v>
      </x:c>
      <x:c r="K203" s="1" t="s">
        <x:v>20</x:v>
      </x:c>
      <x:c r="L203" s="1" t="s">
        <x:v>21</x:v>
      </x:c>
      <x:c r="M203" s="1" t="s">
        <x:v>22</x:v>
      </x:c>
      <x:c r="N203" s="1" t="s">
        <x:v>211</x:v>
      </x:c>
      <x:c r="O203" s="1" t="s">
        <x:v>24</x:v>
      </x:c>
      <x:c r="P203" s="1" t="s">
        <x:v>25</x:v>
      </x:c>
      <x:c r="Q203" s="1" t="s">
        <x:v>20</x:v>
      </x:c>
    </x:row>
    <x:row r="204" spans="1:17">
      <x:c r="A204" s="1" t="s">
        <x:v>20</x:v>
      </x:c>
      <x:c r="B204" s="2" t="s">
        <x:v>20</x:v>
      </x:c>
      <x:c r="C204" s="2" t="s">
        <x:v>20</x:v>
      </x:c>
      <x:c r="D204" s="1" t="s">
        <x:v>20</x:v>
      </x:c>
      <x:c r="E204" s="1" t="s">
        <x:v>26</x:v>
      </x:c>
      <x:c r="F204" s="1" t="s">
        <x:v>20</x:v>
      </x:c>
      <x:c r="G204" s="1" t="s">
        <x:v>20</x:v>
      </x:c>
      <x:c r="H204" s="1" t="s">
        <x:v>27</x:v>
      </x:c>
      <x:c r="I204" s="1" t="s">
        <x:v>20</x:v>
      </x:c>
      <x:c r="J204" s="1" t="s">
        <x:v>20</x:v>
      </x:c>
      <x:c r="K204" s="1" t="s">
        <x:v>20</x:v>
      </x:c>
      <x:c r="L204" s="1" t="s">
        <x:v>20</x:v>
      </x:c>
      <x:c r="M204" s="1" t="s">
        <x:v>20</x:v>
      </x:c>
      <x:c r="N204" s="1" t="s">
        <x:v>20</x:v>
      </x:c>
      <x:c r="O204" s="1" t="s">
        <x:v>20</x:v>
      </x:c>
      <x:c r="P204" s="1" t="s">
        <x:v>20</x:v>
      </x:c>
      <x:c r="Q204" s="1" t="s">
        <x:v>20</x:v>
      </x:c>
    </x:row>
    <x:row r="205" spans="1:17">
      <x:c r="A205" s="1" t="s">
        <x:v>20</x:v>
      </x:c>
      <x:c r="B205" s="2" t="s">
        <x:v>20</x:v>
      </x:c>
      <x:c r="C205" s="2" t="s">
        <x:v>20</x:v>
      </x:c>
      <x:c r="D205" s="1" t="s">
        <x:v>20</x:v>
      </x:c>
      <x:c r="E205" s="1" t="s">
        <x:v>20</x:v>
      </x:c>
      <x:c r="F205" s="2" t="s">
        <x:v>212</x:v>
      </x:c>
      <x:c r="G205" s="1" t="s">
        <x:v>20</x:v>
      </x:c>
      <x:c r="H205" s="1" t="s">
        <x:v>209</x:v>
      </x:c>
      <x:c r="I205" s="1" t="s">
        <x:v>20</x:v>
      </x:c>
      <x:c r="J205" s="1" t="s">
        <x:v>20</x:v>
      </x:c>
      <x:c r="K205" s="1" t="s">
        <x:v>20</x:v>
      </x:c>
      <x:c r="L205" s="1" t="s">
        <x:v>20</x:v>
      </x:c>
      <x:c r="M205" s="1" t="s">
        <x:v>20</x:v>
      </x:c>
      <x:c r="N205" s="1" t="s">
        <x:v>20</x:v>
      </x:c>
      <x:c r="O205" s="1" t="s">
        <x:v>20</x:v>
      </x:c>
      <x:c r="P205" s="1" t="s">
        <x:v>20</x:v>
      </x:c>
      <x:c r="Q205" s="1" t="s">
        <x:v>20</x:v>
      </x:c>
    </x:row>
    <x:row r="206" spans="1:17">
      <x:c r="A206" s="1" t="s">
        <x:v>213</x:v>
      </x:c>
      <x:c r="B206" s="2" t="s">
        <x:v>204</x:v>
      </x:c>
      <x:c r="C206" s="2">
        <x:f>HYPERLINK("https://team-w7jm.testit.software/projects/1/tests/169", "Обновление бронирования без обязательного заголовка")</x:f>
      </x:c>
      <x:c r="D206" s="1" t="s">
        <x:v>19</x:v>
      </x:c>
      <x:c r="E206" s="1" t="s">
        <x:v>20</x:v>
      </x:c>
      <x:c r="F206" s="1" t="s">
        <x:v>20</x:v>
      </x:c>
      <x:c r="G206" s="1" t="s">
        <x:v>20</x:v>
      </x:c>
      <x:c r="H206" s="1" t="s">
        <x:v>20</x:v>
      </x:c>
      <x:c r="I206" s="1" t="s">
        <x:v>20</x:v>
      </x:c>
      <x:c r="J206" s="1" t="s">
        <x:v>20</x:v>
      </x:c>
      <x:c r="K206" s="1" t="s">
        <x:v>20</x:v>
      </x:c>
      <x:c r="L206" s="1" t="s">
        <x:v>21</x:v>
      </x:c>
      <x:c r="M206" s="1" t="s">
        <x:v>22</x:v>
      </x:c>
      <x:c r="N206" s="1" t="s">
        <x:v>214</x:v>
      </x:c>
      <x:c r="O206" s="1" t="s">
        <x:v>24</x:v>
      </x:c>
      <x:c r="P206" s="1" t="s">
        <x:v>25</x:v>
      </x:c>
      <x:c r="Q206" s="1" t="s">
        <x:v>20</x:v>
      </x:c>
    </x:row>
    <x:row r="207" spans="1:17">
      <x:c r="A207" s="1" t="s">
        <x:v>20</x:v>
      </x:c>
      <x:c r="B207" s="2" t="s">
        <x:v>20</x:v>
      </x:c>
      <x:c r="C207" s="2" t="s">
        <x:v>20</x:v>
      </x:c>
      <x:c r="D207" s="1" t="s">
        <x:v>20</x:v>
      </x:c>
      <x:c r="E207" s="1" t="s">
        <x:v>26</x:v>
      </x:c>
      <x:c r="F207" s="1" t="s">
        <x:v>20</x:v>
      </x:c>
      <x:c r="G207" s="1" t="s">
        <x:v>20</x:v>
      </x:c>
      <x:c r="H207" s="1" t="s">
        <x:v>27</x:v>
      </x:c>
      <x:c r="I207" s="1" t="s">
        <x:v>20</x:v>
      </x:c>
      <x:c r="J207" s="1" t="s">
        <x:v>20</x:v>
      </x:c>
      <x:c r="K207" s="1" t="s">
        <x:v>20</x:v>
      </x:c>
      <x:c r="L207" s="1" t="s">
        <x:v>20</x:v>
      </x:c>
      <x:c r="M207" s="1" t="s">
        <x:v>20</x:v>
      </x:c>
      <x:c r="N207" s="1" t="s">
        <x:v>20</x:v>
      </x:c>
      <x:c r="O207" s="1" t="s">
        <x:v>20</x:v>
      </x:c>
      <x:c r="P207" s="1" t="s">
        <x:v>20</x:v>
      </x:c>
      <x:c r="Q207" s="1" t="s">
        <x:v>20</x:v>
      </x:c>
    </x:row>
    <x:row r="208" spans="1:17">
      <x:c r="A208" s="1" t="s">
        <x:v>20</x:v>
      </x:c>
      <x:c r="B208" s="2" t="s">
        <x:v>20</x:v>
      </x:c>
      <x:c r="C208" s="2" t="s">
        <x:v>20</x:v>
      </x:c>
      <x:c r="D208" s="1" t="s">
        <x:v>20</x:v>
      </x:c>
      <x:c r="E208" s="1" t="s">
        <x:v>20</x:v>
      </x:c>
      <x:c r="F208" s="2" t="s">
        <x:v>215</x:v>
      </x:c>
      <x:c r="G208" s="1" t="s">
        <x:v>20</x:v>
      </x:c>
      <x:c r="H208" s="1" t="s">
        <x:v>216</x:v>
      </x:c>
      <x:c r="I208" s="1" t="s">
        <x:v>20</x:v>
      </x:c>
      <x:c r="J208" s="1" t="s">
        <x:v>20</x:v>
      </x:c>
      <x:c r="K208" s="1" t="s">
        <x:v>20</x:v>
      </x:c>
      <x:c r="L208" s="1" t="s">
        <x:v>20</x:v>
      </x:c>
      <x:c r="M208" s="1" t="s">
        <x:v>20</x:v>
      </x:c>
      <x:c r="N208" s="1" t="s">
        <x:v>20</x:v>
      </x:c>
      <x:c r="O208" s="1" t="s">
        <x:v>20</x:v>
      </x:c>
      <x:c r="P208" s="1" t="s">
        <x:v>20</x:v>
      </x:c>
      <x:c r="Q208" s="1" t="s">
        <x:v>20</x:v>
      </x:c>
    </x:row>
    <x:row r="209" spans="1:17">
      <x:c r="A209" s="1" t="s">
        <x:v>217</x:v>
      </x:c>
      <x:c r="B209" s="2" t="s">
        <x:v>204</x:v>
      </x:c>
      <x:c r="C209" s="2">
        <x:f>HYPERLINK("https://team-w7jm.testit.software/projects/1/tests/170", "Обновление бронирования с xml ответом")</x:f>
      </x:c>
      <x:c r="D209" s="1" t="s">
        <x:v>19</x:v>
      </x:c>
      <x:c r="E209" s="1" t="s">
        <x:v>20</x:v>
      </x:c>
      <x:c r="F209" s="1" t="s">
        <x:v>20</x:v>
      </x:c>
      <x:c r="G209" s="1" t="s">
        <x:v>20</x:v>
      </x:c>
      <x:c r="H209" s="1" t="s">
        <x:v>20</x:v>
      </x:c>
      <x:c r="I209" s="1" t="s">
        <x:v>20</x:v>
      </x:c>
      <x:c r="J209" s="1" t="s">
        <x:v>20</x:v>
      </x:c>
      <x:c r="K209" s="1" t="s">
        <x:v>20</x:v>
      </x:c>
      <x:c r="L209" s="1" t="s">
        <x:v>21</x:v>
      </x:c>
      <x:c r="M209" s="1" t="s">
        <x:v>22</x:v>
      </x:c>
      <x:c r="N209" s="1" t="s">
        <x:v>218</x:v>
      </x:c>
      <x:c r="O209" s="1" t="s">
        <x:v>24</x:v>
      </x:c>
      <x:c r="P209" s="1" t="s">
        <x:v>25</x:v>
      </x:c>
      <x:c r="Q209" s="1" t="s">
        <x:v>20</x:v>
      </x:c>
    </x:row>
    <x:row r="210" spans="1:17">
      <x:c r="A210" s="1" t="s">
        <x:v>20</x:v>
      </x:c>
      <x:c r="B210" s="2" t="s">
        <x:v>20</x:v>
      </x:c>
      <x:c r="C210" s="2" t="s">
        <x:v>20</x:v>
      </x:c>
      <x:c r="D210" s="1" t="s">
        <x:v>20</x:v>
      </x:c>
      <x:c r="E210" s="1" t="s">
        <x:v>26</x:v>
      </x:c>
      <x:c r="F210" s="1" t="s">
        <x:v>20</x:v>
      </x:c>
      <x:c r="G210" s="1" t="s">
        <x:v>20</x:v>
      </x:c>
      <x:c r="H210" s="1" t="s">
        <x:v>27</x:v>
      </x:c>
      <x:c r="I210" s="1" t="s">
        <x:v>20</x:v>
      </x:c>
      <x:c r="J210" s="1" t="s">
        <x:v>20</x:v>
      </x:c>
      <x:c r="K210" s="1" t="s">
        <x:v>20</x:v>
      </x:c>
      <x:c r="L210" s="1" t="s">
        <x:v>20</x:v>
      </x:c>
      <x:c r="M210" s="1" t="s">
        <x:v>20</x:v>
      </x:c>
      <x:c r="N210" s="1" t="s">
        <x:v>20</x:v>
      </x:c>
      <x:c r="O210" s="1" t="s">
        <x:v>20</x:v>
      </x:c>
      <x:c r="P210" s="1" t="s">
        <x:v>20</x:v>
      </x:c>
      <x:c r="Q210" s="1" t="s">
        <x:v>20</x:v>
      </x:c>
    </x:row>
    <x:row r="211" spans="1:17">
      <x:c r="A211" s="1" t="s">
        <x:v>20</x:v>
      </x:c>
      <x:c r="B211" s="2" t="s">
        <x:v>20</x:v>
      </x:c>
      <x:c r="C211" s="2" t="s">
        <x:v>20</x:v>
      </x:c>
      <x:c r="D211" s="1" t="s">
        <x:v>20</x:v>
      </x:c>
      <x:c r="E211" s="1" t="s">
        <x:v>20</x:v>
      </x:c>
      <x:c r="F211" s="2" t="s">
        <x:v>219</x:v>
      </x:c>
      <x:c r="G211" s="1" t="s">
        <x:v>20</x:v>
      </x:c>
      <x:c r="H211" s="1" t="s">
        <x:v>209</x:v>
      </x:c>
      <x:c r="I211" s="1" t="s">
        <x:v>20</x:v>
      </x:c>
      <x:c r="J211" s="1" t="s">
        <x:v>20</x:v>
      </x:c>
      <x:c r="K211" s="1" t="s">
        <x:v>20</x:v>
      </x:c>
      <x:c r="L211" s="1" t="s">
        <x:v>20</x:v>
      </x:c>
      <x:c r="M211" s="1" t="s">
        <x:v>20</x:v>
      </x:c>
      <x:c r="N211" s="1" t="s">
        <x:v>20</x:v>
      </x:c>
      <x:c r="O211" s="1" t="s">
        <x:v>20</x:v>
      </x:c>
      <x:c r="P211" s="1" t="s">
        <x:v>20</x:v>
      </x:c>
      <x:c r="Q211" s="1" t="s">
        <x:v>20</x:v>
      </x:c>
    </x:row>
    <x:row r="212" spans="1:17">
      <x:c r="A212" s="1" t="s">
        <x:v>220</x:v>
      </x:c>
      <x:c r="B212" s="2" t="s">
        <x:v>204</x:v>
      </x:c>
      <x:c r="C212" s="2">
        <x:f>HYPERLINK("https://team-w7jm.testit.software/projects/1/tests/171", "Идемпотентность PUT")</x:f>
      </x:c>
      <x:c r="D212" s="1" t="s">
        <x:v>19</x:v>
      </x:c>
      <x:c r="E212" s="1" t="s">
        <x:v>20</x:v>
      </x:c>
      <x:c r="F212" s="1" t="s">
        <x:v>20</x:v>
      </x:c>
      <x:c r="G212" s="1" t="s">
        <x:v>20</x:v>
      </x:c>
      <x:c r="H212" s="1" t="s">
        <x:v>20</x:v>
      </x:c>
      <x:c r="I212" s="1" t="s">
        <x:v>20</x:v>
      </x:c>
      <x:c r="J212" s="1" t="s">
        <x:v>20</x:v>
      </x:c>
      <x:c r="K212" s="1" t="s">
        <x:v>20</x:v>
      </x:c>
      <x:c r="L212" s="1" t="s">
        <x:v>21</x:v>
      </x:c>
      <x:c r="M212" s="1" t="s">
        <x:v>22</x:v>
      </x:c>
      <x:c r="N212" s="1" t="s">
        <x:v>221</x:v>
      </x:c>
      <x:c r="O212" s="1" t="s">
        <x:v>24</x:v>
      </x:c>
      <x:c r="P212" s="1" t="s">
        <x:v>25</x:v>
      </x:c>
      <x:c r="Q212" s="1" t="s">
        <x:v>20</x:v>
      </x:c>
    </x:row>
    <x:row r="213" spans="1:17">
      <x:c r="A213" s="1" t="s">
        <x:v>20</x:v>
      </x:c>
      <x:c r="B213" s="2" t="s">
        <x:v>20</x:v>
      </x:c>
      <x:c r="C213" s="2" t="s">
        <x:v>20</x:v>
      </x:c>
      <x:c r="D213" s="1" t="s">
        <x:v>20</x:v>
      </x:c>
      <x:c r="E213" s="1" t="s">
        <x:v>26</x:v>
      </x:c>
      <x:c r="F213" s="1" t="s">
        <x:v>20</x:v>
      </x:c>
      <x:c r="G213" s="1" t="s">
        <x:v>20</x:v>
      </x:c>
      <x:c r="H213" s="1" t="s">
        <x:v>27</x:v>
      </x:c>
      <x:c r="I213" s="1" t="s">
        <x:v>20</x:v>
      </x:c>
      <x:c r="J213" s="1" t="s">
        <x:v>20</x:v>
      </x:c>
      <x:c r="K213" s="1" t="s">
        <x:v>20</x:v>
      </x:c>
      <x:c r="L213" s="1" t="s">
        <x:v>20</x:v>
      </x:c>
      <x:c r="M213" s="1" t="s">
        <x:v>20</x:v>
      </x:c>
      <x:c r="N213" s="1" t="s">
        <x:v>20</x:v>
      </x:c>
      <x:c r="O213" s="1" t="s">
        <x:v>20</x:v>
      </x:c>
      <x:c r="P213" s="1" t="s">
        <x:v>20</x:v>
      </x:c>
      <x:c r="Q213" s="1" t="s">
        <x:v>20</x:v>
      </x:c>
    </x:row>
    <x:row r="214" spans="1:17">
      <x:c r="A214" s="1" t="s">
        <x:v>20</x:v>
      </x:c>
      <x:c r="B214" s="2" t="s">
        <x:v>20</x:v>
      </x:c>
      <x:c r="C214" s="2" t="s">
        <x:v>20</x:v>
      </x:c>
      <x:c r="D214" s="1" t="s">
        <x:v>20</x:v>
      </x:c>
      <x:c r="E214" s="1" t="s">
        <x:v>20</x:v>
      </x:c>
      <x:c r="F214" s="2" t="s">
        <x:v>222</x:v>
      </x:c>
      <x:c r="G214" s="1" t="s">
        <x:v>20</x:v>
      </x:c>
      <x:c r="H214" s="1" t="s">
        <x:v>223</x:v>
      </x:c>
      <x:c r="I214" s="1" t="s">
        <x:v>20</x:v>
      </x:c>
      <x:c r="J214" s="1" t="s">
        <x:v>20</x:v>
      </x:c>
      <x:c r="K214" s="1" t="s">
        <x:v>20</x:v>
      </x:c>
      <x:c r="L214" s="1" t="s">
        <x:v>20</x:v>
      </x:c>
      <x:c r="M214" s="1" t="s">
        <x:v>20</x:v>
      </x:c>
      <x:c r="N214" s="1" t="s">
        <x:v>20</x:v>
      </x:c>
      <x:c r="O214" s="1" t="s">
        <x:v>20</x:v>
      </x:c>
      <x:c r="P214" s="1" t="s">
        <x:v>20</x:v>
      </x:c>
      <x:c r="Q214" s="1" t="s">
        <x:v>20</x:v>
      </x:c>
    </x:row>
    <x:row r="215" spans="1:17">
      <x:c r="A215" s="1" t="s">
        <x:v>20</x:v>
      </x:c>
      <x:c r="B215" s="2" t="s">
        <x:v>20</x:v>
      </x:c>
      <x:c r="C215" s="2" t="s">
        <x:v>20</x:v>
      </x:c>
      <x:c r="D215" s="1" t="s">
        <x:v>20</x:v>
      </x:c>
      <x:c r="E215" s="1" t="s">
        <x:v>20</x:v>
      </x:c>
      <x:c r="F215" s="2" t="s">
        <x:v>224</x:v>
      </x:c>
      <x:c r="G215" s="1" t="s">
        <x:v>20</x:v>
      </x:c>
      <x:c r="H215" s="1" t="s">
        <x:v>209</x:v>
      </x:c>
      <x:c r="I215" s="1" t="s">
        <x:v>20</x:v>
      </x:c>
      <x:c r="J215" s="1" t="s">
        <x:v>20</x:v>
      </x:c>
      <x:c r="K215" s="1" t="s">
        <x:v>20</x:v>
      </x:c>
      <x:c r="L215" s="1" t="s">
        <x:v>20</x:v>
      </x:c>
      <x:c r="M215" s="1" t="s">
        <x:v>20</x:v>
      </x:c>
      <x:c r="N215" s="1" t="s">
        <x:v>20</x:v>
      </x:c>
      <x:c r="O215" s="1" t="s">
        <x:v>20</x:v>
      </x:c>
      <x:c r="P215" s="1" t="s">
        <x:v>20</x:v>
      </x:c>
      <x:c r="Q215" s="1" t="s">
        <x:v>20</x:v>
      </x:c>
    </x:row>
    <x:row r="216" spans="1:17">
      <x:c r="A216" s="1" t="s">
        <x:v>20</x:v>
      </x:c>
      <x:c r="B216" s="2" t="s">
        <x:v>20</x:v>
      </x:c>
      <x:c r="C216" s="2" t="s">
        <x:v>20</x:v>
      </x:c>
      <x:c r="D216" s="1" t="s">
        <x:v>20</x:v>
      </x:c>
      <x:c r="E216" s="1" t="s">
        <x:v>20</x:v>
      </x:c>
      <x:c r="F216" s="2" t="s">
        <x:v>225</x:v>
      </x:c>
      <x:c r="G216" s="1" t="s">
        <x:v>20</x:v>
      </x:c>
      <x:c r="H216" s="1" t="s">
        <x:v>226</x:v>
      </x:c>
      <x:c r="I216" s="1" t="s">
        <x:v>20</x:v>
      </x:c>
      <x:c r="J216" s="1" t="s">
        <x:v>20</x:v>
      </x:c>
      <x:c r="K216" s="1" t="s">
        <x:v>20</x:v>
      </x:c>
      <x:c r="L216" s="1" t="s">
        <x:v>20</x:v>
      </x:c>
      <x:c r="M216" s="1" t="s">
        <x:v>20</x:v>
      </x:c>
      <x:c r="N216" s="1" t="s">
        <x:v>20</x:v>
      </x:c>
      <x:c r="O216" s="1" t="s">
        <x:v>20</x:v>
      </x:c>
      <x:c r="P216" s="1" t="s">
        <x:v>20</x:v>
      </x:c>
      <x:c r="Q216" s="1" t="s">
        <x:v>20</x:v>
      </x:c>
    </x:row>
    <x:row r="217" spans="1:17">
      <x:c r="A217" s="1" t="s">
        <x:v>20</x:v>
      </x:c>
      <x:c r="B217" s="2" t="s">
        <x:v>20</x:v>
      </x:c>
      <x:c r="C217" s="2" t="s">
        <x:v>20</x:v>
      </x:c>
      <x:c r="D217" s="1" t="s">
        <x:v>20</x:v>
      </x:c>
      <x:c r="E217" s="1" t="s">
        <x:v>20</x:v>
      </x:c>
      <x:c r="F217" s="2" t="s">
        <x:v>227</x:v>
      </x:c>
      <x:c r="G217" s="1" t="s">
        <x:v>20</x:v>
      </x:c>
      <x:c r="H217" s="1" t="s">
        <x:v>228</x:v>
      </x:c>
      <x:c r="I217" s="1" t="s">
        <x:v>20</x:v>
      </x:c>
      <x:c r="J217" s="1" t="s">
        <x:v>20</x:v>
      </x:c>
      <x:c r="K217" s="1" t="s">
        <x:v>20</x:v>
      </x:c>
      <x:c r="L217" s="1" t="s">
        <x:v>20</x:v>
      </x:c>
      <x:c r="M217" s="1" t="s">
        <x:v>20</x:v>
      </x:c>
      <x:c r="N217" s="1" t="s">
        <x:v>20</x:v>
      </x:c>
      <x:c r="O217" s="1" t="s">
        <x:v>20</x:v>
      </x:c>
      <x:c r="P217" s="1" t="s">
        <x:v>20</x:v>
      </x:c>
      <x:c r="Q217" s="1" t="s">
        <x:v>20</x:v>
      </x:c>
    </x:row>
    <x:row r="218" spans="1:17">
      <x:c r="A218" s="1" t="s">
        <x:v>20</x:v>
      </x:c>
      <x:c r="B218" s="2" t="s">
        <x:v>20</x:v>
      </x:c>
      <x:c r="C218" s="2" t="s">
        <x:v>20</x:v>
      </x:c>
      <x:c r="D218" s="1" t="s">
        <x:v>20</x:v>
      </x:c>
      <x:c r="E218" s="1" t="s">
        <x:v>20</x:v>
      </x:c>
      <x:c r="F218" s="2" t="s">
        <x:v>227</x:v>
      </x:c>
      <x:c r="G218" s="1" t="s">
        <x:v>20</x:v>
      </x:c>
      <x:c r="H218" s="1" t="s">
        <x:v>229</x:v>
      </x:c>
      <x:c r="I218" s="1" t="s">
        <x:v>20</x:v>
      </x:c>
      <x:c r="J218" s="1" t="s">
        <x:v>20</x:v>
      </x:c>
      <x:c r="K218" s="1" t="s">
        <x:v>20</x:v>
      </x:c>
      <x:c r="L218" s="1" t="s">
        <x:v>20</x:v>
      </x:c>
      <x:c r="M218" s="1" t="s">
        <x:v>20</x:v>
      </x:c>
      <x:c r="N218" s="1" t="s">
        <x:v>20</x:v>
      </x:c>
      <x:c r="O218" s="1" t="s">
        <x:v>20</x:v>
      </x:c>
      <x:c r="P218" s="1" t="s">
        <x:v>20</x:v>
      </x:c>
      <x:c r="Q218" s="1" t="s">
        <x:v>20</x:v>
      </x:c>
    </x:row>
    <x:row r="219" spans="1:17">
      <x:c r="A219" s="1" t="s">
        <x:v>20</x:v>
      </x:c>
      <x:c r="B219" s="2" t="s">
        <x:v>20</x:v>
      </x:c>
      <x:c r="C219" s="2" t="s">
        <x:v>20</x:v>
      </x:c>
      <x:c r="D219" s="1" t="s">
        <x:v>20</x:v>
      </x:c>
      <x:c r="E219" s="1" t="s">
        <x:v>20</x:v>
      </x:c>
      <x:c r="F219" s="2" t="s">
        <x:v>230</x:v>
      </x:c>
      <x:c r="G219" s="1" t="s">
        <x:v>20</x:v>
      </x:c>
      <x:c r="H219" s="1" t="s">
        <x:v>231</x:v>
      </x:c>
      <x:c r="I219" s="1" t="s">
        <x:v>20</x:v>
      </x:c>
      <x:c r="J219" s="1" t="s">
        <x:v>20</x:v>
      </x:c>
      <x:c r="K219" s="1" t="s">
        <x:v>20</x:v>
      </x:c>
      <x:c r="L219" s="1" t="s">
        <x:v>20</x:v>
      </x:c>
      <x:c r="M219" s="1" t="s">
        <x:v>20</x:v>
      </x:c>
      <x:c r="N219" s="1" t="s">
        <x:v>20</x:v>
      </x:c>
      <x:c r="O219" s="1" t="s">
        <x:v>20</x:v>
      </x:c>
      <x:c r="P219" s="1" t="s">
        <x:v>20</x:v>
      </x:c>
      <x:c r="Q219" s="1" t="s">
        <x:v>20</x:v>
      </x:c>
    </x:row>
    <x:row r="220" spans="1:17">
      <x:c r="A220" s="1" t="s">
        <x:v>232</x:v>
      </x:c>
      <x:c r="B220" s="2" t="s">
        <x:v>233</x:v>
      </x:c>
      <x:c r="C220" s="2">
        <x:f>HYPERLINK("https://team-w7jm.testit.software/projects/1/tests/203", "Частичное изменение бронирования")</x:f>
      </x:c>
      <x:c r="D220" s="1" t="s">
        <x:v>19</x:v>
      </x:c>
      <x:c r="E220" s="1" t="s">
        <x:v>20</x:v>
      </x:c>
      <x:c r="F220" s="1" t="s">
        <x:v>20</x:v>
      </x:c>
      <x:c r="G220" s="1" t="s">
        <x:v>20</x:v>
      </x:c>
      <x:c r="H220" s="1" t="s">
        <x:v>20</x:v>
      </x:c>
      <x:c r="I220" s="1" t="s">
        <x:v>20</x:v>
      </x:c>
      <x:c r="J220" s="1" t="s">
        <x:v>20</x:v>
      </x:c>
      <x:c r="K220" s="1" t="s">
        <x:v>20</x:v>
      </x:c>
      <x:c r="L220" s="1" t="s">
        <x:v>21</x:v>
      </x:c>
      <x:c r="M220" s="1" t="s">
        <x:v>22</x:v>
      </x:c>
      <x:c r="N220" s="1" t="s">
        <x:v>234</x:v>
      </x:c>
      <x:c r="O220" s="1" t="s">
        <x:v>24</x:v>
      </x:c>
      <x:c r="P220" s="1" t="s">
        <x:v>25</x:v>
      </x:c>
      <x:c r="Q220" s="1" t="s">
        <x:v>20</x:v>
      </x:c>
    </x:row>
    <x:row r="221" spans="1:17">
      <x:c r="A221" s="1" t="s">
        <x:v>20</x:v>
      </x:c>
      <x:c r="B221" s="2" t="s">
        <x:v>20</x:v>
      </x:c>
      <x:c r="C221" s="2" t="s">
        <x:v>20</x:v>
      </x:c>
      <x:c r="D221" s="1" t="s">
        <x:v>20</x:v>
      </x:c>
      <x:c r="E221" s="1" t="s">
        <x:v>26</x:v>
      </x:c>
      <x:c r="F221" s="1" t="s">
        <x:v>20</x:v>
      </x:c>
      <x:c r="G221" s="1" t="s">
        <x:v>20</x:v>
      </x:c>
      <x:c r="H221" s="1" t="s">
        <x:v>27</x:v>
      </x:c>
      <x:c r="I221" s="1" t="s">
        <x:v>20</x:v>
      </x:c>
      <x:c r="J221" s="1" t="s">
        <x:v>20</x:v>
      </x:c>
      <x:c r="K221" s="1" t="s">
        <x:v>20</x:v>
      </x:c>
      <x:c r="L221" s="1" t="s">
        <x:v>20</x:v>
      </x:c>
      <x:c r="M221" s="1" t="s">
        <x:v>20</x:v>
      </x:c>
      <x:c r="N221" s="1" t="s">
        <x:v>20</x:v>
      </x:c>
      <x:c r="O221" s="1" t="s">
        <x:v>20</x:v>
      </x:c>
      <x:c r="P221" s="1" t="s">
        <x:v>20</x:v>
      </x:c>
      <x:c r="Q221" s="1" t="s">
        <x:v>20</x:v>
      </x:c>
    </x:row>
    <x:row r="222" spans="1:17">
      <x:c r="A222" s="1" t="s">
        <x:v>20</x:v>
      </x:c>
      <x:c r="B222" s="2" t="s">
        <x:v>20</x:v>
      </x:c>
      <x:c r="C222" s="2" t="s">
        <x:v>20</x:v>
      </x:c>
      <x:c r="D222" s="1" t="s">
        <x:v>20</x:v>
      </x:c>
      <x:c r="E222" s="1" t="s">
        <x:v>20</x:v>
      </x:c>
      <x:c r="F222" s="2" t="s">
        <x:v>235</x:v>
      </x:c>
      <x:c r="G222" s="1" t="s">
        <x:v>20</x:v>
      </x:c>
      <x:c r="H222" s="1" t="s">
        <x:v>209</x:v>
      </x:c>
      <x:c r="I222" s="1" t="s">
        <x:v>20</x:v>
      </x:c>
      <x:c r="J222" s="1" t="s">
        <x:v>20</x:v>
      </x:c>
      <x:c r="K222" s="1" t="s">
        <x:v>20</x:v>
      </x:c>
      <x:c r="L222" s="1" t="s">
        <x:v>20</x:v>
      </x:c>
      <x:c r="M222" s="1" t="s">
        <x:v>20</x:v>
      </x:c>
      <x:c r="N222" s="1" t="s">
        <x:v>20</x:v>
      </x:c>
      <x:c r="O222" s="1" t="s">
        <x:v>20</x:v>
      </x:c>
      <x:c r="P222" s="1" t="s">
        <x:v>20</x:v>
      </x:c>
      <x:c r="Q222" s="1" t="s">
        <x:v>20</x:v>
      </x:c>
    </x:row>
    <x:row r="223" spans="1:17">
      <x:c r="A223" s="1" t="s">
        <x:v>236</x:v>
      </x:c>
      <x:c r="B223" s="2" t="s">
        <x:v>233</x:v>
      </x:c>
      <x:c r="C223" s="2">
        <x:f>HYPERLINK("https://team-w7jm.testit.software/projects/1/tests/204", "Изменить только поле firstname")</x:f>
      </x:c>
      <x:c r="D223" s="1" t="s">
        <x:v>19</x:v>
      </x:c>
      <x:c r="E223" s="1" t="s">
        <x:v>20</x:v>
      </x:c>
      <x:c r="F223" s="1" t="s">
        <x:v>20</x:v>
      </x:c>
      <x:c r="G223" s="1" t="s">
        <x:v>20</x:v>
      </x:c>
      <x:c r="H223" s="1" t="s">
        <x:v>20</x:v>
      </x:c>
      <x:c r="I223" s="1" t="s">
        <x:v>20</x:v>
      </x:c>
      <x:c r="J223" s="1" t="s">
        <x:v>20</x:v>
      </x:c>
      <x:c r="K223" s="1" t="s">
        <x:v>20</x:v>
      </x:c>
      <x:c r="L223" s="1" t="s">
        <x:v>21</x:v>
      </x:c>
      <x:c r="M223" s="1" t="s">
        <x:v>22</x:v>
      </x:c>
      <x:c r="N223" s="1" t="s">
        <x:v>237</x:v>
      </x:c>
      <x:c r="O223" s="1" t="s">
        <x:v>24</x:v>
      </x:c>
      <x:c r="P223" s="1" t="s">
        <x:v>25</x:v>
      </x:c>
      <x:c r="Q223" s="1" t="s">
        <x:v>20</x:v>
      </x:c>
    </x:row>
    <x:row r="224" spans="1:17">
      <x:c r="A224" s="1" t="s">
        <x:v>20</x:v>
      </x:c>
      <x:c r="B224" s="2" t="s">
        <x:v>20</x:v>
      </x:c>
      <x:c r="C224" s="2" t="s">
        <x:v>20</x:v>
      </x:c>
      <x:c r="D224" s="1" t="s">
        <x:v>20</x:v>
      </x:c>
      <x:c r="E224" s="1" t="s">
        <x:v>26</x:v>
      </x:c>
      <x:c r="F224" s="1" t="s">
        <x:v>20</x:v>
      </x:c>
      <x:c r="G224" s="1" t="s">
        <x:v>20</x:v>
      </x:c>
      <x:c r="H224" s="1" t="s">
        <x:v>27</x:v>
      </x:c>
      <x:c r="I224" s="1" t="s">
        <x:v>20</x:v>
      </x:c>
      <x:c r="J224" s="1" t="s">
        <x:v>20</x:v>
      </x:c>
      <x:c r="K224" s="1" t="s">
        <x:v>20</x:v>
      </x:c>
      <x:c r="L224" s="1" t="s">
        <x:v>20</x:v>
      </x:c>
      <x:c r="M224" s="1" t="s">
        <x:v>20</x:v>
      </x:c>
      <x:c r="N224" s="1" t="s">
        <x:v>20</x:v>
      </x:c>
      <x:c r="O224" s="1" t="s">
        <x:v>20</x:v>
      </x:c>
      <x:c r="P224" s="1" t="s">
        <x:v>20</x:v>
      </x:c>
      <x:c r="Q224" s="1" t="s">
        <x:v>20</x:v>
      </x:c>
    </x:row>
    <x:row r="225" spans="1:17">
      <x:c r="A225" s="1" t="s">
        <x:v>20</x:v>
      </x:c>
      <x:c r="B225" s="2" t="s">
        <x:v>20</x:v>
      </x:c>
      <x:c r="C225" s="2" t="s">
        <x:v>20</x:v>
      </x:c>
      <x:c r="D225" s="1" t="s">
        <x:v>20</x:v>
      </x:c>
      <x:c r="E225" s="1" t="s">
        <x:v>20</x:v>
      </x:c>
      <x:c r="F225" s="2" t="s">
        <x:v>238</x:v>
      </x:c>
      <x:c r="G225" s="1" t="s">
        <x:v>20</x:v>
      </x:c>
      <x:c r="H225" s="1" t="s">
        <x:v>239</x:v>
      </x:c>
      <x:c r="I225" s="1" t="s">
        <x:v>20</x:v>
      </x:c>
      <x:c r="J225" s="1" t="s">
        <x:v>20</x:v>
      </x:c>
      <x:c r="K225" s="1" t="s">
        <x:v>20</x:v>
      </x:c>
      <x:c r="L225" s="1" t="s">
        <x:v>20</x:v>
      </x:c>
      <x:c r="M225" s="1" t="s">
        <x:v>20</x:v>
      </x:c>
      <x:c r="N225" s="1" t="s">
        <x:v>20</x:v>
      </x:c>
      <x:c r="O225" s="1" t="s">
        <x:v>20</x:v>
      </x:c>
      <x:c r="P225" s="1" t="s">
        <x:v>20</x:v>
      </x:c>
      <x:c r="Q225" s="1" t="s">
        <x:v>20</x:v>
      </x:c>
    </x:row>
    <x:row r="226" spans="1:17">
      <x:c r="A226" s="1" t="s">
        <x:v>240</x:v>
      </x:c>
      <x:c r="B226" s="2" t="s">
        <x:v>233</x:v>
      </x:c>
      <x:c r="C226" s="2">
        <x:f>HYPERLINK("https://team-w7jm.testit.software/projects/1/tests/205", "Невалидный Json")</x:f>
      </x:c>
      <x:c r="D226" s="1" t="s">
        <x:v>19</x:v>
      </x:c>
      <x:c r="E226" s="1" t="s">
        <x:v>20</x:v>
      </x:c>
      <x:c r="F226" s="1" t="s">
        <x:v>20</x:v>
      </x:c>
      <x:c r="G226" s="1" t="s">
        <x:v>20</x:v>
      </x:c>
      <x:c r="H226" s="1" t="s">
        <x:v>20</x:v>
      </x:c>
      <x:c r="I226" s="1" t="s">
        <x:v>20</x:v>
      </x:c>
      <x:c r="J226" s="1" t="s">
        <x:v>20</x:v>
      </x:c>
      <x:c r="K226" s="1" t="s">
        <x:v>20</x:v>
      </x:c>
      <x:c r="L226" s="1" t="s">
        <x:v>21</x:v>
      </x:c>
      <x:c r="M226" s="1" t="s">
        <x:v>22</x:v>
      </x:c>
      <x:c r="N226" s="1" t="s">
        <x:v>241</x:v>
      </x:c>
      <x:c r="O226" s="1" t="s">
        <x:v>24</x:v>
      </x:c>
      <x:c r="P226" s="1" t="s">
        <x:v>25</x:v>
      </x:c>
      <x:c r="Q226" s="1" t="s">
        <x:v>20</x:v>
      </x:c>
    </x:row>
    <x:row r="227" spans="1:17">
      <x:c r="A227" s="1" t="s">
        <x:v>20</x:v>
      </x:c>
      <x:c r="B227" s="2" t="s">
        <x:v>20</x:v>
      </x:c>
      <x:c r="C227" s="2" t="s">
        <x:v>20</x:v>
      </x:c>
      <x:c r="D227" s="1" t="s">
        <x:v>20</x:v>
      </x:c>
      <x:c r="E227" s="1" t="s">
        <x:v>26</x:v>
      </x:c>
      <x:c r="F227" s="1" t="s">
        <x:v>20</x:v>
      </x:c>
      <x:c r="G227" s="1" t="s">
        <x:v>20</x:v>
      </x:c>
      <x:c r="H227" s="1" t="s">
        <x:v>27</x:v>
      </x:c>
      <x:c r="I227" s="1" t="s">
        <x:v>20</x:v>
      </x:c>
      <x:c r="J227" s="1" t="s">
        <x:v>20</x:v>
      </x:c>
      <x:c r="K227" s="1" t="s">
        <x:v>20</x:v>
      </x:c>
      <x:c r="L227" s="1" t="s">
        <x:v>20</x:v>
      </x:c>
      <x:c r="M227" s="1" t="s">
        <x:v>20</x:v>
      </x:c>
      <x:c r="N227" s="1" t="s">
        <x:v>20</x:v>
      </x:c>
      <x:c r="O227" s="1" t="s">
        <x:v>20</x:v>
      </x:c>
      <x:c r="P227" s="1" t="s">
        <x:v>20</x:v>
      </x:c>
      <x:c r="Q227" s="1" t="s">
        <x:v>20</x:v>
      </x:c>
    </x:row>
    <x:row r="228" spans="1:17">
      <x:c r="A228" s="1" t="s">
        <x:v>20</x:v>
      </x:c>
      <x:c r="B228" s="2" t="s">
        <x:v>20</x:v>
      </x:c>
      <x:c r="C228" s="2" t="s">
        <x:v>20</x:v>
      </x:c>
      <x:c r="D228" s="1" t="s">
        <x:v>20</x:v>
      </x:c>
      <x:c r="E228" s="1" t="s">
        <x:v>20</x:v>
      </x:c>
      <x:c r="F228" s="2" t="s">
        <x:v>242</x:v>
      </x:c>
      <x:c r="G228" s="1" t="s">
        <x:v>20</x:v>
      </x:c>
      <x:c r="H228" s="1" t="s">
        <x:v>216</x:v>
      </x:c>
      <x:c r="I228" s="1" t="s">
        <x:v>20</x:v>
      </x:c>
      <x:c r="J228" s="1" t="s">
        <x:v>20</x:v>
      </x:c>
      <x:c r="K228" s="1" t="s">
        <x:v>20</x:v>
      </x:c>
      <x:c r="L228" s="1" t="s">
        <x:v>20</x:v>
      </x:c>
      <x:c r="M228" s="1" t="s">
        <x:v>20</x:v>
      </x:c>
      <x:c r="N228" s="1" t="s">
        <x:v>20</x:v>
      </x:c>
      <x:c r="O228" s="1" t="s">
        <x:v>20</x:v>
      </x:c>
      <x:c r="P228" s="1" t="s">
        <x:v>20</x:v>
      </x:c>
      <x:c r="Q228" s="1" t="s">
        <x:v>20</x:v>
      </x:c>
    </x:row>
    <x:row r="229" spans="1:17">
      <x:c r="A229" s="1" t="s">
        <x:v>243</x:v>
      </x:c>
      <x:c r="B229" s="2" t="s">
        <x:v>233</x:v>
      </x:c>
      <x:c r="C229" s="2">
        <x:f>HYPERLINK("https://team-w7jm.testit.software/projects/1/tests/206", "Без тела запроса")</x:f>
      </x:c>
      <x:c r="D229" s="1" t="s">
        <x:v>19</x:v>
      </x:c>
      <x:c r="E229" s="1" t="s">
        <x:v>20</x:v>
      </x:c>
      <x:c r="F229" s="1" t="s">
        <x:v>20</x:v>
      </x:c>
      <x:c r="G229" s="1" t="s">
        <x:v>20</x:v>
      </x:c>
      <x:c r="H229" s="1" t="s">
        <x:v>20</x:v>
      </x:c>
      <x:c r="I229" s="1" t="s">
        <x:v>20</x:v>
      </x:c>
      <x:c r="J229" s="1" t="s">
        <x:v>20</x:v>
      </x:c>
      <x:c r="K229" s="1" t="s">
        <x:v>20</x:v>
      </x:c>
      <x:c r="L229" s="1" t="s">
        <x:v>21</x:v>
      </x:c>
      <x:c r="M229" s="1" t="s">
        <x:v>22</x:v>
      </x:c>
      <x:c r="N229" s="1" t="s">
        <x:v>244</x:v>
      </x:c>
      <x:c r="O229" s="1" t="s">
        <x:v>24</x:v>
      </x:c>
      <x:c r="P229" s="1" t="s">
        <x:v>25</x:v>
      </x:c>
      <x:c r="Q229" s="1" t="s">
        <x:v>20</x:v>
      </x:c>
    </x:row>
    <x:row r="230" spans="1:17">
      <x:c r="A230" s="1" t="s">
        <x:v>20</x:v>
      </x:c>
      <x:c r="B230" s="2" t="s">
        <x:v>20</x:v>
      </x:c>
      <x:c r="C230" s="2" t="s">
        <x:v>20</x:v>
      </x:c>
      <x:c r="D230" s="1" t="s">
        <x:v>20</x:v>
      </x:c>
      <x:c r="E230" s="1" t="s">
        <x:v>26</x:v>
      </x:c>
      <x:c r="F230" s="1" t="s">
        <x:v>20</x:v>
      </x:c>
      <x:c r="G230" s="1" t="s">
        <x:v>20</x:v>
      </x:c>
      <x:c r="H230" s="1" t="s">
        <x:v>27</x:v>
      </x:c>
      <x:c r="I230" s="1" t="s">
        <x:v>20</x:v>
      </x:c>
      <x:c r="J230" s="1" t="s">
        <x:v>20</x:v>
      </x:c>
      <x:c r="K230" s="1" t="s">
        <x:v>20</x:v>
      </x:c>
      <x:c r="L230" s="1" t="s">
        <x:v>20</x:v>
      </x:c>
      <x:c r="M230" s="1" t="s">
        <x:v>20</x:v>
      </x:c>
      <x:c r="N230" s="1" t="s">
        <x:v>20</x:v>
      </x:c>
      <x:c r="O230" s="1" t="s">
        <x:v>20</x:v>
      </x:c>
      <x:c r="P230" s="1" t="s">
        <x:v>20</x:v>
      </x:c>
      <x:c r="Q230" s="1" t="s">
        <x:v>20</x:v>
      </x:c>
    </x:row>
    <x:row r="231" spans="1:17">
      <x:c r="A231" s="1" t="s">
        <x:v>20</x:v>
      </x:c>
      <x:c r="B231" s="2" t="s">
        <x:v>20</x:v>
      </x:c>
      <x:c r="C231" s="2" t="s">
        <x:v>20</x:v>
      </x:c>
      <x:c r="D231" s="1" t="s">
        <x:v>20</x:v>
      </x:c>
      <x:c r="E231" s="1" t="s">
        <x:v>20</x:v>
      </x:c>
      <x:c r="F231" s="2" t="s">
        <x:v>245</x:v>
      </x:c>
      <x:c r="G231" s="1" t="s">
        <x:v>20</x:v>
      </x:c>
      <x:c r="H231" s="1" t="s">
        <x:v>239</x:v>
      </x:c>
      <x:c r="I231" s="1" t="s">
        <x:v>20</x:v>
      </x:c>
      <x:c r="J231" s="1" t="s">
        <x:v>20</x:v>
      </x:c>
      <x:c r="K231" s="1" t="s">
        <x:v>20</x:v>
      </x:c>
      <x:c r="L231" s="1" t="s">
        <x:v>20</x:v>
      </x:c>
      <x:c r="M231" s="1" t="s">
        <x:v>20</x:v>
      </x:c>
      <x:c r="N231" s="1" t="s">
        <x:v>20</x:v>
      </x:c>
      <x:c r="O231" s="1" t="s">
        <x:v>20</x:v>
      </x:c>
      <x:c r="P231" s="1" t="s">
        <x:v>20</x:v>
      </x:c>
      <x:c r="Q231" s="1" t="s">
        <x:v>20</x:v>
      </x:c>
    </x:row>
    <x:row r="232" spans="1:17">
      <x:c r="A232" s="1" t="s">
        <x:v>246</x:v>
      </x:c>
      <x:c r="B232" s="2" t="s">
        <x:v>233</x:v>
      </x:c>
      <x:c r="C232" s="2">
        <x:f>HYPERLINK("https://team-w7jm.testit.software/projects/1/tests/207", "Изменение на несуществующий ID")</x:f>
      </x:c>
      <x:c r="D232" s="1" t="s">
        <x:v>19</x:v>
      </x:c>
      <x:c r="E232" s="1" t="s">
        <x:v>20</x:v>
      </x:c>
      <x:c r="F232" s="1" t="s">
        <x:v>20</x:v>
      </x:c>
      <x:c r="G232" s="1" t="s">
        <x:v>20</x:v>
      </x:c>
      <x:c r="H232" s="1" t="s">
        <x:v>20</x:v>
      </x:c>
      <x:c r="I232" s="1" t="s">
        <x:v>20</x:v>
      </x:c>
      <x:c r="J232" s="1" t="s">
        <x:v>20</x:v>
      </x:c>
      <x:c r="K232" s="1" t="s">
        <x:v>20</x:v>
      </x:c>
      <x:c r="L232" s="1" t="s">
        <x:v>21</x:v>
      </x:c>
      <x:c r="M232" s="1" t="s">
        <x:v>22</x:v>
      </x:c>
      <x:c r="N232" s="1" t="s">
        <x:v>247</x:v>
      </x:c>
      <x:c r="O232" s="1" t="s">
        <x:v>24</x:v>
      </x:c>
      <x:c r="P232" s="1" t="s">
        <x:v>25</x:v>
      </x:c>
      <x:c r="Q232" s="1" t="s">
        <x:v>20</x:v>
      </x:c>
    </x:row>
    <x:row r="233" spans="1:17">
      <x:c r="A233" s="1" t="s">
        <x:v>20</x:v>
      </x:c>
      <x:c r="B233" s="2" t="s">
        <x:v>20</x:v>
      </x:c>
      <x:c r="C233" s="2" t="s">
        <x:v>20</x:v>
      </x:c>
      <x:c r="D233" s="1" t="s">
        <x:v>20</x:v>
      </x:c>
      <x:c r="E233" s="1" t="s">
        <x:v>26</x:v>
      </x:c>
      <x:c r="F233" s="1" t="s">
        <x:v>20</x:v>
      </x:c>
      <x:c r="G233" s="1" t="s">
        <x:v>20</x:v>
      </x:c>
      <x:c r="H233" s="1" t="s">
        <x:v>27</x:v>
      </x:c>
      <x:c r="I233" s="1" t="s">
        <x:v>20</x:v>
      </x:c>
      <x:c r="J233" s="1" t="s">
        <x:v>20</x:v>
      </x:c>
      <x:c r="K233" s="1" t="s">
        <x:v>20</x:v>
      </x:c>
      <x:c r="L233" s="1" t="s">
        <x:v>20</x:v>
      </x:c>
      <x:c r="M233" s="1" t="s">
        <x:v>20</x:v>
      </x:c>
      <x:c r="N233" s="1" t="s">
        <x:v>20</x:v>
      </x:c>
      <x:c r="O233" s="1" t="s">
        <x:v>20</x:v>
      </x:c>
      <x:c r="P233" s="1" t="s">
        <x:v>20</x:v>
      </x:c>
      <x:c r="Q233" s="1" t="s">
        <x:v>20</x:v>
      </x:c>
    </x:row>
    <x:row r="234" spans="1:17">
      <x:c r="A234" s="1" t="s">
        <x:v>20</x:v>
      </x:c>
      <x:c r="B234" s="2" t="s">
        <x:v>20</x:v>
      </x:c>
      <x:c r="C234" s="2" t="s">
        <x:v>20</x:v>
      </x:c>
      <x:c r="D234" s="1" t="s">
        <x:v>20</x:v>
      </x:c>
      <x:c r="E234" s="1" t="s">
        <x:v>20</x:v>
      </x:c>
      <x:c r="F234" s="2" t="s">
        <x:v>248</x:v>
      </x:c>
      <x:c r="G234" s="1" t="s">
        <x:v>20</x:v>
      </x:c>
      <x:c r="H234" s="1" t="s">
        <x:v>249</x:v>
      </x:c>
      <x:c r="I234" s="1" t="s">
        <x:v>20</x:v>
      </x:c>
      <x:c r="J234" s="1" t="s">
        <x:v>20</x:v>
      </x:c>
      <x:c r="K234" s="1" t="s">
        <x:v>20</x:v>
      </x:c>
      <x:c r="L234" s="1" t="s">
        <x:v>20</x:v>
      </x:c>
      <x:c r="M234" s="1" t="s">
        <x:v>20</x:v>
      </x:c>
      <x:c r="N234" s="1" t="s">
        <x:v>20</x:v>
      </x:c>
      <x:c r="O234" s="1" t="s">
        <x:v>20</x:v>
      </x:c>
      <x:c r="P234" s="1" t="s">
        <x:v>20</x:v>
      </x:c>
      <x:c r="Q234" s="1" t="s">
        <x:v>20</x:v>
      </x:c>
    </x:row>
    <x:row r="235" spans="1:17">
      <x:c r="A235" s="1" t="s">
        <x:v>250</x:v>
      </x:c>
      <x:c r="B235" s="2" t="s">
        <x:v>233</x:v>
      </x:c>
      <x:c r="C235" s="2">
        <x:f>HYPERLINK("https://team-w7jm.testit.software/projects/1/tests/208", "Изменения на бронирование без ID")</x:f>
      </x:c>
      <x:c r="D235" s="1" t="s">
        <x:v>19</x:v>
      </x:c>
      <x:c r="E235" s="1" t="s">
        <x:v>20</x:v>
      </x:c>
      <x:c r="F235" s="1" t="s">
        <x:v>20</x:v>
      </x:c>
      <x:c r="G235" s="1" t="s">
        <x:v>20</x:v>
      </x:c>
      <x:c r="H235" s="1" t="s">
        <x:v>20</x:v>
      </x:c>
      <x:c r="I235" s="1" t="s">
        <x:v>20</x:v>
      </x:c>
      <x:c r="J235" s="1" t="s">
        <x:v>20</x:v>
      </x:c>
      <x:c r="K235" s="1" t="s">
        <x:v>20</x:v>
      </x:c>
      <x:c r="L235" s="1" t="s">
        <x:v>21</x:v>
      </x:c>
      <x:c r="M235" s="1" t="s">
        <x:v>22</x:v>
      </x:c>
      <x:c r="N235" s="1" t="s">
        <x:v>251</x:v>
      </x:c>
      <x:c r="O235" s="1" t="s">
        <x:v>24</x:v>
      </x:c>
      <x:c r="P235" s="1" t="s">
        <x:v>25</x:v>
      </x:c>
      <x:c r="Q235" s="1" t="s">
        <x:v>20</x:v>
      </x:c>
    </x:row>
    <x:row r="236" spans="1:17">
      <x:c r="A236" s="1" t="s">
        <x:v>20</x:v>
      </x:c>
      <x:c r="B236" s="2" t="s">
        <x:v>20</x:v>
      </x:c>
      <x:c r="C236" s="2" t="s">
        <x:v>20</x:v>
      </x:c>
      <x:c r="D236" s="1" t="s">
        <x:v>20</x:v>
      </x:c>
      <x:c r="E236" s="1" t="s">
        <x:v>26</x:v>
      </x:c>
      <x:c r="F236" s="1" t="s">
        <x:v>20</x:v>
      </x:c>
      <x:c r="G236" s="1" t="s">
        <x:v>20</x:v>
      </x:c>
      <x:c r="H236" s="1" t="s">
        <x:v>27</x:v>
      </x:c>
      <x:c r="I236" s="1" t="s">
        <x:v>20</x:v>
      </x:c>
      <x:c r="J236" s="1" t="s">
        <x:v>20</x:v>
      </x:c>
      <x:c r="K236" s="1" t="s">
        <x:v>20</x:v>
      </x:c>
      <x:c r="L236" s="1" t="s">
        <x:v>20</x:v>
      </x:c>
      <x:c r="M236" s="1" t="s">
        <x:v>20</x:v>
      </x:c>
      <x:c r="N236" s="1" t="s">
        <x:v>20</x:v>
      </x:c>
      <x:c r="O236" s="1" t="s">
        <x:v>20</x:v>
      </x:c>
      <x:c r="P236" s="1" t="s">
        <x:v>20</x:v>
      </x:c>
      <x:c r="Q236" s="1" t="s">
        <x:v>20</x:v>
      </x:c>
    </x:row>
    <x:row r="237" spans="1:17">
      <x:c r="A237" s="1" t="s">
        <x:v>20</x:v>
      </x:c>
      <x:c r="B237" s="2" t="s">
        <x:v>20</x:v>
      </x:c>
      <x:c r="C237" s="2" t="s">
        <x:v>20</x:v>
      </x:c>
      <x:c r="D237" s="1" t="s">
        <x:v>20</x:v>
      </x:c>
      <x:c r="E237" s="1" t="s">
        <x:v>20</x:v>
      </x:c>
      <x:c r="F237" s="2" t="s">
        <x:v>252</x:v>
      </x:c>
      <x:c r="G237" s="1" t="s">
        <x:v>20</x:v>
      </x:c>
      <x:c r="H237" s="1" t="s">
        <x:v>161</x:v>
      </x:c>
      <x:c r="I237" s="1" t="s">
        <x:v>20</x:v>
      </x:c>
      <x:c r="J237" s="1" t="s">
        <x:v>20</x:v>
      </x:c>
      <x:c r="K237" s="1" t="s">
        <x:v>20</x:v>
      </x:c>
      <x:c r="L237" s="1" t="s">
        <x:v>20</x:v>
      </x:c>
      <x:c r="M237" s="1" t="s">
        <x:v>20</x:v>
      </x:c>
      <x:c r="N237" s="1" t="s">
        <x:v>20</x:v>
      </x:c>
      <x:c r="O237" s="1" t="s">
        <x:v>20</x:v>
      </x:c>
      <x:c r="P237" s="1" t="s">
        <x:v>20</x:v>
      </x:c>
      <x:c r="Q237" s="1" t="s">
        <x:v>20</x:v>
      </x:c>
    </x:row>
    <x:row r="238" spans="1:17">
      <x:c r="A238" s="1" t="s">
        <x:v>253</x:v>
      </x:c>
      <x:c r="B238" s="2" t="s">
        <x:v>233</x:v>
      </x:c>
      <x:c r="C238" s="2">
        <x:f>HYPERLINK("https://team-w7jm.testit.software/projects/1/tests/209", "Допустимые методы")</x:f>
      </x:c>
      <x:c r="D238" s="1" t="s">
        <x:v>19</x:v>
      </x:c>
      <x:c r="E238" s="1" t="s">
        <x:v>20</x:v>
      </x:c>
      <x:c r="F238" s="1" t="s">
        <x:v>20</x:v>
      </x:c>
      <x:c r="G238" s="1" t="s">
        <x:v>20</x:v>
      </x:c>
      <x:c r="H238" s="1" t="s">
        <x:v>20</x:v>
      </x:c>
      <x:c r="I238" s="1" t="s">
        <x:v>20</x:v>
      </x:c>
      <x:c r="J238" s="1" t="s">
        <x:v>20</x:v>
      </x:c>
      <x:c r="K238" s="1" t="s">
        <x:v>20</x:v>
      </x:c>
      <x:c r="L238" s="1" t="s">
        <x:v>21</x:v>
      </x:c>
      <x:c r="M238" s="1" t="s">
        <x:v>22</x:v>
      </x:c>
      <x:c r="N238" s="1" t="s">
        <x:v>254</x:v>
      </x:c>
      <x:c r="O238" s="1" t="s">
        <x:v>24</x:v>
      </x:c>
      <x:c r="P238" s="1" t="s">
        <x:v>25</x:v>
      </x:c>
      <x:c r="Q238" s="1" t="s">
        <x:v>20</x:v>
      </x:c>
    </x:row>
    <x:row r="239" spans="1:17">
      <x:c r="A239" s="1" t="s">
        <x:v>20</x:v>
      </x:c>
      <x:c r="B239" s="2" t="s">
        <x:v>20</x:v>
      </x:c>
      <x:c r="C239" s="2" t="s">
        <x:v>20</x:v>
      </x:c>
      <x:c r="D239" s="1" t="s">
        <x:v>20</x:v>
      </x:c>
      <x:c r="E239" s="1" t="s">
        <x:v>26</x:v>
      </x:c>
      <x:c r="F239" s="1" t="s">
        <x:v>20</x:v>
      </x:c>
      <x:c r="G239" s="1" t="s">
        <x:v>20</x:v>
      </x:c>
      <x:c r="H239" s="1" t="s">
        <x:v>27</x:v>
      </x:c>
      <x:c r="I239" s="1" t="s">
        <x:v>20</x:v>
      </x:c>
      <x:c r="J239" s="1" t="s">
        <x:v>20</x:v>
      </x:c>
      <x:c r="K239" s="1" t="s">
        <x:v>20</x:v>
      </x:c>
      <x:c r="L239" s="1" t="s">
        <x:v>20</x:v>
      </x:c>
      <x:c r="M239" s="1" t="s">
        <x:v>20</x:v>
      </x:c>
      <x:c r="N239" s="1" t="s">
        <x:v>20</x:v>
      </x:c>
      <x:c r="O239" s="1" t="s">
        <x:v>20</x:v>
      </x:c>
      <x:c r="P239" s="1" t="s">
        <x:v>20</x:v>
      </x:c>
      <x:c r="Q239" s="1" t="s">
        <x:v>20</x:v>
      </x:c>
    </x:row>
    <x:row r="240" spans="1:17">
      <x:c r="A240" s="1" t="s">
        <x:v>20</x:v>
      </x:c>
      <x:c r="B240" s="2" t="s">
        <x:v>20</x:v>
      </x:c>
      <x:c r="C240" s="2" t="s">
        <x:v>20</x:v>
      </x:c>
      <x:c r="D240" s="1" t="s">
        <x:v>20</x:v>
      </x:c>
      <x:c r="E240" s="1" t="s">
        <x:v>20</x:v>
      </x:c>
      <x:c r="F240" s="2" t="s">
        <x:v>255</x:v>
      </x:c>
      <x:c r="G240" s="1" t="s">
        <x:v>20</x:v>
      </x:c>
      <x:c r="H240" s="1" t="s">
        <x:v>256</x:v>
      </x:c>
      <x:c r="I240" s="1" t="s">
        <x:v>20</x:v>
      </x:c>
      <x:c r="J240" s="1" t="s">
        <x:v>20</x:v>
      </x:c>
      <x:c r="K240" s="1" t="s">
        <x:v>20</x:v>
      </x:c>
      <x:c r="L240" s="1" t="s">
        <x:v>20</x:v>
      </x:c>
      <x:c r="M240" s="1" t="s">
        <x:v>20</x:v>
      </x:c>
      <x:c r="N240" s="1" t="s">
        <x:v>20</x:v>
      </x:c>
      <x:c r="O240" s="1" t="s">
        <x:v>20</x:v>
      </x:c>
      <x:c r="P240" s="1" t="s">
        <x:v>20</x:v>
      </x:c>
      <x:c r="Q240" s="1" t="s">
        <x:v>20</x:v>
      </x:c>
    </x:row>
    <x:row r="241" spans="1:17">
      <x:c r="A241" s="1" t="s">
        <x:v>257</x:v>
      </x:c>
      <x:c r="B241" s="2" t="s">
        <x:v>258</x:v>
      </x:c>
      <x:c r="C241" s="2">
        <x:f>HYPERLINK("https://team-w7jm.testit.software/projects/1/tests/210", "Удаление бронирования")</x:f>
      </x:c>
      <x:c r="D241" s="1" t="s">
        <x:v>19</x:v>
      </x:c>
      <x:c r="E241" s="1" t="s">
        <x:v>20</x:v>
      </x:c>
      <x:c r="F241" s="1" t="s">
        <x:v>20</x:v>
      </x:c>
      <x:c r="G241" s="1" t="s">
        <x:v>20</x:v>
      </x:c>
      <x:c r="H241" s="1" t="s">
        <x:v>20</x:v>
      </x:c>
      <x:c r="I241" s="1" t="s">
        <x:v>20</x:v>
      </x:c>
      <x:c r="J241" s="1" t="s">
        <x:v>20</x:v>
      </x:c>
      <x:c r="K241" s="1" t="s">
        <x:v>20</x:v>
      </x:c>
      <x:c r="L241" s="1" t="s">
        <x:v>21</x:v>
      </x:c>
      <x:c r="M241" s="1" t="s">
        <x:v>22</x:v>
      </x:c>
      <x:c r="N241" s="1" t="s">
        <x:v>259</x:v>
      </x:c>
      <x:c r="O241" s="1" t="s">
        <x:v>24</x:v>
      </x:c>
      <x:c r="P241" s="1" t="s">
        <x:v>25</x:v>
      </x:c>
      <x:c r="Q241" s="1" t="s">
        <x:v>20</x:v>
      </x:c>
    </x:row>
    <x:row r="242" spans="1:17">
      <x:c r="A242" s="1" t="s">
        <x:v>20</x:v>
      </x:c>
      <x:c r="B242" s="2" t="s">
        <x:v>20</x:v>
      </x:c>
      <x:c r="C242" s="2" t="s">
        <x:v>20</x:v>
      </x:c>
      <x:c r="D242" s="1" t="s">
        <x:v>20</x:v>
      </x:c>
      <x:c r="E242" s="1" t="s">
        <x:v>26</x:v>
      </x:c>
      <x:c r="F242" s="1" t="s">
        <x:v>20</x:v>
      </x:c>
      <x:c r="G242" s="1" t="s">
        <x:v>20</x:v>
      </x:c>
      <x:c r="H242" s="1" t="s">
        <x:v>27</x:v>
      </x:c>
      <x:c r="I242" s="1" t="s">
        <x:v>20</x:v>
      </x:c>
      <x:c r="J242" s="1" t="s">
        <x:v>20</x:v>
      </x:c>
      <x:c r="K242" s="1" t="s">
        <x:v>20</x:v>
      </x:c>
      <x:c r="L242" s="1" t="s">
        <x:v>20</x:v>
      </x:c>
      <x:c r="M242" s="1" t="s">
        <x:v>20</x:v>
      </x:c>
      <x:c r="N242" s="1" t="s">
        <x:v>20</x:v>
      </x:c>
      <x:c r="O242" s="1" t="s">
        <x:v>20</x:v>
      </x:c>
      <x:c r="P242" s="1" t="s">
        <x:v>20</x:v>
      </x:c>
      <x:c r="Q242" s="1" t="s">
        <x:v>20</x:v>
      </x:c>
    </x:row>
    <x:row r="243" spans="1:17">
      <x:c r="A243" s="1" t="s">
        <x:v>20</x:v>
      </x:c>
      <x:c r="B243" s="2" t="s">
        <x:v>20</x:v>
      </x:c>
      <x:c r="C243" s="2" t="s">
        <x:v>20</x:v>
      </x:c>
      <x:c r="D243" s="1" t="s">
        <x:v>20</x:v>
      </x:c>
      <x:c r="E243" s="1" t="s">
        <x:v>20</x:v>
      </x:c>
      <x:c r="F243" s="2" t="s">
        <x:v>260</x:v>
      </x:c>
      <x:c r="G243" s="1" t="s">
        <x:v>20</x:v>
      </x:c>
      <x:c r="H243" s="1" t="s">
        <x:v>261</x:v>
      </x:c>
      <x:c r="I243" s="1" t="s">
        <x:v>20</x:v>
      </x:c>
      <x:c r="J243" s="1" t="s">
        <x:v>20</x:v>
      </x:c>
      <x:c r="K243" s="1" t="s">
        <x:v>20</x:v>
      </x:c>
      <x:c r="L243" s="1" t="s">
        <x:v>20</x:v>
      </x:c>
      <x:c r="M243" s="1" t="s">
        <x:v>20</x:v>
      </x:c>
      <x:c r="N243" s="1" t="s">
        <x:v>20</x:v>
      </x:c>
      <x:c r="O243" s="1" t="s">
        <x:v>20</x:v>
      </x:c>
      <x:c r="P243" s="1" t="s">
        <x:v>20</x:v>
      </x:c>
      <x:c r="Q243" s="1" t="s">
        <x:v>20</x:v>
      </x:c>
    </x:row>
    <x:row r="244" spans="1:17">
      <x:c r="A244" s="1" t="s">
        <x:v>262</x:v>
      </x:c>
      <x:c r="B244" s="2" t="s">
        <x:v>258</x:v>
      </x:c>
      <x:c r="C244" s="2">
        <x:f>HYPERLINK("https://team-w7jm.testit.software/projects/1/tests/211", "Проверка удаления")</x:f>
      </x:c>
      <x:c r="D244" s="1" t="s">
        <x:v>19</x:v>
      </x:c>
      <x:c r="E244" s="1" t="s">
        <x:v>20</x:v>
      </x:c>
      <x:c r="F244" s="1" t="s">
        <x:v>20</x:v>
      </x:c>
      <x:c r="G244" s="1" t="s">
        <x:v>20</x:v>
      </x:c>
      <x:c r="H244" s="1" t="s">
        <x:v>20</x:v>
      </x:c>
      <x:c r="I244" s="1" t="s">
        <x:v>20</x:v>
      </x:c>
      <x:c r="J244" s="1" t="s">
        <x:v>20</x:v>
      </x:c>
      <x:c r="K244" s="1" t="s">
        <x:v>20</x:v>
      </x:c>
      <x:c r="L244" s="1" t="s">
        <x:v>21</x:v>
      </x:c>
      <x:c r="M244" s="1" t="s">
        <x:v>22</x:v>
      </x:c>
      <x:c r="N244" s="1" t="s">
        <x:v>263</x:v>
      </x:c>
      <x:c r="O244" s="1" t="s">
        <x:v>24</x:v>
      </x:c>
      <x:c r="P244" s="1" t="s">
        <x:v>25</x:v>
      </x:c>
      <x:c r="Q244" s="1" t="s">
        <x:v>20</x:v>
      </x:c>
    </x:row>
    <x:row r="245" spans="1:17">
      <x:c r="A245" s="1" t="s">
        <x:v>20</x:v>
      </x:c>
      <x:c r="B245" s="2" t="s">
        <x:v>20</x:v>
      </x:c>
      <x:c r="C245" s="2" t="s">
        <x:v>20</x:v>
      </x:c>
      <x:c r="D245" s="1" t="s">
        <x:v>20</x:v>
      </x:c>
      <x:c r="E245" s="1" t="s">
        <x:v>26</x:v>
      </x:c>
      <x:c r="F245" s="1" t="s">
        <x:v>20</x:v>
      </x:c>
      <x:c r="G245" s="1" t="s">
        <x:v>20</x:v>
      </x:c>
      <x:c r="H245" s="1" t="s">
        <x:v>27</x:v>
      </x:c>
      <x:c r="I245" s="1" t="s">
        <x:v>20</x:v>
      </x:c>
      <x:c r="J245" s="1" t="s">
        <x:v>20</x:v>
      </x:c>
      <x:c r="K245" s="1" t="s">
        <x:v>20</x:v>
      </x:c>
      <x:c r="L245" s="1" t="s">
        <x:v>20</x:v>
      </x:c>
      <x:c r="M245" s="1" t="s">
        <x:v>20</x:v>
      </x:c>
      <x:c r="N245" s="1" t="s">
        <x:v>20</x:v>
      </x:c>
      <x:c r="O245" s="1" t="s">
        <x:v>20</x:v>
      </x:c>
      <x:c r="P245" s="1" t="s">
        <x:v>20</x:v>
      </x:c>
      <x:c r="Q245" s="1" t="s">
        <x:v>20</x:v>
      </x:c>
    </x:row>
    <x:row r="246" spans="1:17">
      <x:c r="A246" s="1" t="s">
        <x:v>20</x:v>
      </x:c>
      <x:c r="B246" s="2" t="s">
        <x:v>20</x:v>
      </x:c>
      <x:c r="C246" s="2" t="s">
        <x:v>20</x:v>
      </x:c>
      <x:c r="D246" s="1" t="s">
        <x:v>20</x:v>
      </x:c>
      <x:c r="E246" s="1" t="s">
        <x:v>20</x:v>
      </x:c>
      <x:c r="F246" s="2" t="s">
        <x:v>222</x:v>
      </x:c>
      <x:c r="G246" s="1" t="s">
        <x:v>20</x:v>
      </x:c>
      <x:c r="H246" s="1" t="s">
        <x:v>264</x:v>
      </x:c>
      <x:c r="I246" s="1" t="s">
        <x:v>20</x:v>
      </x:c>
      <x:c r="J246" s="1" t="s">
        <x:v>20</x:v>
      </x:c>
      <x:c r="K246" s="1" t="s">
        <x:v>20</x:v>
      </x:c>
      <x:c r="L246" s="1" t="s">
        <x:v>20</x:v>
      </x:c>
      <x:c r="M246" s="1" t="s">
        <x:v>20</x:v>
      </x:c>
      <x:c r="N246" s="1" t="s">
        <x:v>20</x:v>
      </x:c>
      <x:c r="O246" s="1" t="s">
        <x:v>20</x:v>
      </x:c>
      <x:c r="P246" s="1" t="s">
        <x:v>20</x:v>
      </x:c>
      <x:c r="Q246" s="1" t="s">
        <x:v>20</x:v>
      </x:c>
    </x:row>
    <x:row r="247" spans="1:17">
      <x:c r="A247" s="1" t="s">
        <x:v>265</x:v>
      </x:c>
      <x:c r="B247" s="2" t="s">
        <x:v>258</x:v>
      </x:c>
      <x:c r="C247" s="2">
        <x:f>HYPERLINK("https://team-w7jm.testit.software/projects/1/tests/212", "Удаление удаленного бронирования ")</x:f>
      </x:c>
      <x:c r="D247" s="1" t="s">
        <x:v>19</x:v>
      </x:c>
      <x:c r="E247" s="1" t="s">
        <x:v>20</x:v>
      </x:c>
      <x:c r="F247" s="1" t="s">
        <x:v>20</x:v>
      </x:c>
      <x:c r="G247" s="1" t="s">
        <x:v>20</x:v>
      </x:c>
      <x:c r="H247" s="1" t="s">
        <x:v>20</x:v>
      </x:c>
      <x:c r="I247" s="1" t="s">
        <x:v>20</x:v>
      </x:c>
      <x:c r="J247" s="1" t="s">
        <x:v>20</x:v>
      </x:c>
      <x:c r="K247" s="1" t="s">
        <x:v>20</x:v>
      </x:c>
      <x:c r="L247" s="1" t="s">
        <x:v>21</x:v>
      </x:c>
      <x:c r="M247" s="1" t="s">
        <x:v>22</x:v>
      </x:c>
      <x:c r="N247" s="1" t="s">
        <x:v>266</x:v>
      </x:c>
      <x:c r="O247" s="1" t="s">
        <x:v>24</x:v>
      </x:c>
      <x:c r="P247" s="1" t="s">
        <x:v>25</x:v>
      </x:c>
      <x:c r="Q247" s="1" t="s">
        <x:v>20</x:v>
      </x:c>
    </x:row>
    <x:row r="248" spans="1:17">
      <x:c r="A248" s="1" t="s">
        <x:v>20</x:v>
      </x:c>
      <x:c r="B248" s="2" t="s">
        <x:v>20</x:v>
      </x:c>
      <x:c r="C248" s="2" t="s">
        <x:v>20</x:v>
      </x:c>
      <x:c r="D248" s="1" t="s">
        <x:v>20</x:v>
      </x:c>
      <x:c r="E248" s="1" t="s">
        <x:v>26</x:v>
      </x:c>
      <x:c r="F248" s="1" t="s">
        <x:v>20</x:v>
      </x:c>
      <x:c r="G248" s="1" t="s">
        <x:v>20</x:v>
      </x:c>
      <x:c r="H248" s="1" t="s">
        <x:v>27</x:v>
      </x:c>
      <x:c r="I248" s="1" t="s">
        <x:v>20</x:v>
      </x:c>
      <x:c r="J248" s="1" t="s">
        <x:v>20</x:v>
      </x:c>
      <x:c r="K248" s="1" t="s">
        <x:v>20</x:v>
      </x:c>
      <x:c r="L248" s="1" t="s">
        <x:v>20</x:v>
      </x:c>
      <x:c r="M248" s="1" t="s">
        <x:v>20</x:v>
      </x:c>
      <x:c r="N248" s="1" t="s">
        <x:v>20</x:v>
      </x:c>
      <x:c r="O248" s="1" t="s">
        <x:v>20</x:v>
      </x:c>
      <x:c r="P248" s="1" t="s">
        <x:v>20</x:v>
      </x:c>
      <x:c r="Q248" s="1" t="s">
        <x:v>20</x:v>
      </x:c>
    </x:row>
    <x:row r="249" spans="1:17">
      <x:c r="A249" s="1" t="s">
        <x:v>20</x:v>
      </x:c>
      <x:c r="B249" s="2" t="s">
        <x:v>20</x:v>
      </x:c>
      <x:c r="C249" s="2" t="s">
        <x:v>20</x:v>
      </x:c>
      <x:c r="D249" s="1" t="s">
        <x:v>20</x:v>
      </x:c>
      <x:c r="E249" s="1" t="s">
        <x:v>20</x:v>
      </x:c>
      <x:c r="F249" s="2" t="s">
        <x:v>260</x:v>
      </x:c>
      <x:c r="G249" s="1" t="s">
        <x:v>20</x:v>
      </x:c>
      <x:c r="H249" s="1" t="s">
        <x:v>267</x:v>
      </x:c>
      <x:c r="I249" s="1" t="s">
        <x:v>20</x:v>
      </x:c>
      <x:c r="J249" s="1" t="s">
        <x:v>20</x:v>
      </x:c>
      <x:c r="K249" s="1" t="s">
        <x:v>20</x:v>
      </x:c>
      <x:c r="L249" s="1" t="s">
        <x:v>20</x:v>
      </x:c>
      <x:c r="M249" s="1" t="s">
        <x:v>20</x:v>
      </x:c>
      <x:c r="N249" s="1" t="s">
        <x:v>20</x:v>
      </x:c>
      <x:c r="O249" s="1" t="s">
        <x:v>20</x:v>
      </x:c>
      <x:c r="P249" s="1" t="s">
        <x:v>20</x:v>
      </x:c>
      <x:c r="Q249" s="1" t="s">
        <x:v>20</x:v>
      </x:c>
    </x:row>
    <x:row r="250" spans="1:17">
      <x:c r="A250" s="1" t="s">
        <x:v>268</x:v>
      </x:c>
      <x:c r="B250" s="2" t="s">
        <x:v>258</x:v>
      </x:c>
      <x:c r="C250" s="2">
        <x:f>HYPERLINK("https://team-w7jm.testit.software/projects/1/tests/213", "Удаление несуществующего бронирования ")</x:f>
      </x:c>
      <x:c r="D250" s="1" t="s">
        <x:v>19</x:v>
      </x:c>
      <x:c r="E250" s="1" t="s">
        <x:v>20</x:v>
      </x:c>
      <x:c r="F250" s="1" t="s">
        <x:v>20</x:v>
      </x:c>
      <x:c r="G250" s="1" t="s">
        <x:v>20</x:v>
      </x:c>
      <x:c r="H250" s="1" t="s">
        <x:v>20</x:v>
      </x:c>
      <x:c r="I250" s="1" t="s">
        <x:v>20</x:v>
      </x:c>
      <x:c r="J250" s="1" t="s">
        <x:v>20</x:v>
      </x:c>
      <x:c r="K250" s="1" t="s">
        <x:v>20</x:v>
      </x:c>
      <x:c r="L250" s="1" t="s">
        <x:v>21</x:v>
      </x:c>
      <x:c r="M250" s="1" t="s">
        <x:v>22</x:v>
      </x:c>
      <x:c r="N250" s="1" t="s">
        <x:v>269</x:v>
      </x:c>
      <x:c r="O250" s="1" t="s">
        <x:v>24</x:v>
      </x:c>
      <x:c r="P250" s="1" t="s">
        <x:v>25</x:v>
      </x:c>
      <x:c r="Q250" s="1" t="s">
        <x:v>20</x:v>
      </x:c>
    </x:row>
    <x:row r="251" spans="1:17">
      <x:c r="A251" s="1" t="s">
        <x:v>20</x:v>
      </x:c>
      <x:c r="B251" s="2" t="s">
        <x:v>20</x:v>
      </x:c>
      <x:c r="C251" s="2" t="s">
        <x:v>20</x:v>
      </x:c>
      <x:c r="D251" s="1" t="s">
        <x:v>20</x:v>
      </x:c>
      <x:c r="E251" s="1" t="s">
        <x:v>26</x:v>
      </x:c>
      <x:c r="F251" s="1" t="s">
        <x:v>20</x:v>
      </x:c>
      <x:c r="G251" s="1" t="s">
        <x:v>20</x:v>
      </x:c>
      <x:c r="H251" s="1" t="s">
        <x:v>27</x:v>
      </x:c>
      <x:c r="I251" s="1" t="s">
        <x:v>20</x:v>
      </x:c>
      <x:c r="J251" s="1" t="s">
        <x:v>20</x:v>
      </x:c>
      <x:c r="K251" s="1" t="s">
        <x:v>20</x:v>
      </x:c>
      <x:c r="L251" s="1" t="s">
        <x:v>20</x:v>
      </x:c>
      <x:c r="M251" s="1" t="s">
        <x:v>20</x:v>
      </x:c>
      <x:c r="N251" s="1" t="s">
        <x:v>20</x:v>
      </x:c>
      <x:c r="O251" s="1" t="s">
        <x:v>20</x:v>
      </x:c>
      <x:c r="P251" s="1" t="s">
        <x:v>20</x:v>
      </x:c>
      <x:c r="Q251" s="1" t="s">
        <x:v>20</x:v>
      </x:c>
    </x:row>
    <x:row r="252" spans="1:17">
      <x:c r="A252" s="1" t="s">
        <x:v>20</x:v>
      </x:c>
      <x:c r="B252" s="2" t="s">
        <x:v>20</x:v>
      </x:c>
      <x:c r="C252" s="2" t="s">
        <x:v>20</x:v>
      </x:c>
      <x:c r="D252" s="1" t="s">
        <x:v>20</x:v>
      </x:c>
      <x:c r="E252" s="1" t="s">
        <x:v>20</x:v>
      </x:c>
      <x:c r="F252" s="2" t="s">
        <x:v>270</x:v>
      </x:c>
      <x:c r="G252" s="1" t="s">
        <x:v>20</x:v>
      </x:c>
      <x:c r="H252" s="1" t="s">
        <x:v>267</x:v>
      </x:c>
      <x:c r="I252" s="1" t="s">
        <x:v>20</x:v>
      </x:c>
      <x:c r="J252" s="1" t="s">
        <x:v>20</x:v>
      </x:c>
      <x:c r="K252" s="1" t="s">
        <x:v>20</x:v>
      </x:c>
      <x:c r="L252" s="1" t="s">
        <x:v>20</x:v>
      </x:c>
      <x:c r="M252" s="1" t="s">
        <x:v>20</x:v>
      </x:c>
      <x:c r="N252" s="1" t="s">
        <x:v>20</x:v>
      </x:c>
      <x:c r="O252" s="1" t="s">
        <x:v>20</x:v>
      </x:c>
      <x:c r="P252" s="1" t="s">
        <x:v>20</x:v>
      </x:c>
      <x:c r="Q252" s="1" t="s">
        <x:v>20</x:v>
      </x:c>
    </x:row>
    <x:row r="253" spans="1:17">
      <x:c r="A253" s="1" t="s">
        <x:v>271</x:v>
      </x:c>
      <x:c r="B253" s="2" t="s">
        <x:v>272</x:v>
      </x:c>
      <x:c r="C253" s="2">
        <x:f>HYPERLINK("https://team-w7jm.testit.software/projects/1/tests/214", "Проверка работоспособности")</x:f>
      </x:c>
      <x:c r="D253" s="1" t="s">
        <x:v>19</x:v>
      </x:c>
      <x:c r="E253" s="1" t="s">
        <x:v>20</x:v>
      </x:c>
      <x:c r="F253" s="1" t="s">
        <x:v>20</x:v>
      </x:c>
      <x:c r="G253" s="1" t="s">
        <x:v>20</x:v>
      </x:c>
      <x:c r="H253" s="1" t="s">
        <x:v>20</x:v>
      </x:c>
      <x:c r="I253" s="1" t="s">
        <x:v>20</x:v>
      </x:c>
      <x:c r="J253" s="1" t="s">
        <x:v>20</x:v>
      </x:c>
      <x:c r="K253" s="1" t="s">
        <x:v>20</x:v>
      </x:c>
      <x:c r="L253" s="1" t="s">
        <x:v>21</x:v>
      </x:c>
      <x:c r="M253" s="1" t="s">
        <x:v>22</x:v>
      </x:c>
      <x:c r="N253" s="1" t="s">
        <x:v>273</x:v>
      </x:c>
      <x:c r="O253" s="1" t="s">
        <x:v>24</x:v>
      </x:c>
      <x:c r="P253" s="1" t="s">
        <x:v>25</x:v>
      </x:c>
      <x:c r="Q253" s="1" t="s">
        <x:v>20</x:v>
      </x:c>
    </x:row>
    <x:row r="254" spans="1:17">
      <x:c r="A254" s="1" t="s">
        <x:v>20</x:v>
      </x:c>
      <x:c r="B254" s="2" t="s">
        <x:v>20</x:v>
      </x:c>
      <x:c r="C254" s="2" t="s">
        <x:v>20</x:v>
      </x:c>
      <x:c r="D254" s="1" t="s">
        <x:v>20</x:v>
      </x:c>
      <x:c r="E254" s="1" t="s">
        <x:v>26</x:v>
      </x:c>
      <x:c r="F254" s="1" t="s">
        <x:v>20</x:v>
      </x:c>
      <x:c r="G254" s="1" t="s">
        <x:v>20</x:v>
      </x:c>
      <x:c r="H254" s="1" t="s">
        <x:v>27</x:v>
      </x:c>
      <x:c r="I254" s="1" t="s">
        <x:v>20</x:v>
      </x:c>
      <x:c r="J254" s="1" t="s">
        <x:v>20</x:v>
      </x:c>
      <x:c r="K254" s="1" t="s">
        <x:v>20</x:v>
      </x:c>
      <x:c r="L254" s="1" t="s">
        <x:v>20</x:v>
      </x:c>
      <x:c r="M254" s="1" t="s">
        <x:v>20</x:v>
      </x:c>
      <x:c r="N254" s="1" t="s">
        <x:v>20</x:v>
      </x:c>
      <x:c r="O254" s="1" t="s">
        <x:v>20</x:v>
      </x:c>
      <x:c r="P254" s="1" t="s">
        <x:v>20</x:v>
      </x:c>
      <x:c r="Q254" s="1" t="s">
        <x:v>20</x:v>
      </x:c>
    </x:row>
    <x:row r="255" spans="1:17">
      <x:c r="A255" s="1" t="s">
        <x:v>20</x:v>
      </x:c>
      <x:c r="B255" s="2" t="s">
        <x:v>20</x:v>
      </x:c>
      <x:c r="C255" s="2" t="s">
        <x:v>20</x:v>
      </x:c>
      <x:c r="D255" s="1" t="s">
        <x:v>20</x:v>
      </x:c>
      <x:c r="E255" s="1" t="s">
        <x:v>20</x:v>
      </x:c>
      <x:c r="F255" s="2" t="s">
        <x:v>274</x:v>
      </x:c>
      <x:c r="G255" s="1" t="s">
        <x:v>20</x:v>
      </x:c>
      <x:c r="H255" s="1" t="s">
        <x:v>261</x:v>
      </x:c>
      <x:c r="I255" s="1" t="s">
        <x:v>20</x:v>
      </x:c>
      <x:c r="J255" s="1" t="s">
        <x:v>20</x:v>
      </x:c>
      <x:c r="K255" s="1" t="s">
        <x:v>20</x:v>
      </x:c>
      <x:c r="L255" s="1" t="s">
        <x:v>20</x:v>
      </x:c>
      <x:c r="M255" s="1" t="s">
        <x:v>20</x:v>
      </x:c>
      <x:c r="N255" s="1" t="s">
        <x:v>20</x:v>
      </x:c>
      <x:c r="O255" s="1" t="s">
        <x:v>20</x:v>
      </x:c>
      <x:c r="P255" s="1" t="s">
        <x:v>20</x:v>
      </x:c>
      <x:c r="Q255" s="1" t="s">
        <x:v>20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Project_Основной проект</vt:lpstr>
      <vt:lpstr>Project_Основной проект!Print_Area</vt:lpstr>
      <vt:lpstr>Project_Основной проект!Print_Titles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